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o" sheetId="1" state="visible" r:id="rId3"/>
    <sheet name="Ciclos" sheetId="2" state="visible" r:id="rId4"/>
    <sheet name="Pedidos" sheetId="3" state="visible" r:id="rId5"/>
    <sheet name="Lista de Compras" sheetId="4" state="visible" r:id="rId6"/>
    <sheet name="Sobrantes" sheetId="5" state="visible" r:id="rId7"/>
    <sheet name="Compras" sheetId="6" state="visible" r:id="rId8"/>
    <sheet name="Clientes" sheetId="7" state="visible" r:id="rId9"/>
    <sheet name="Gastos" sheetId="8" state="visible" r:id="rId10"/>
    <sheet name="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<sst xmlns="http://schemas.openxmlformats.org/spreadsheetml/2006/main" count="248" uniqueCount="150">
  <si>
    <t xml:space="preserve">ID</t>
  </si>
  <si>
    <t xml:space="preserve">Producto</t>
  </si>
  <si>
    <t xml:space="preserve">Unidad</t>
  </si>
  <si>
    <t xml:space="preserve">Costo Compra (₡)</t>
  </si>
  <si>
    <t xml:space="preserve">Presentación</t>
  </si>
  <si>
    <t xml:space="preserve">Vida Útil (días)</t>
  </si>
  <si>
    <t xml:space="preserve">Merma %</t>
  </si>
  <si>
    <t xml:space="preserve">Margen %</t>
  </si>
  <si>
    <t xml:space="preserve">Precio Venta (₡)</t>
  </si>
  <si>
    <t xml:space="preserve">P001</t>
  </si>
  <si>
    <t xml:space="preserve">Banano</t>
  </si>
  <si>
    <t xml:space="preserve">mano</t>
  </si>
  <si>
    <t xml:space="preserve">Mano 5 unidades</t>
  </si>
  <si>
    <t xml:space="preserve">P002</t>
  </si>
  <si>
    <t xml:space="preserve">Papa</t>
  </si>
  <si>
    <t xml:space="preserve">kg</t>
  </si>
  <si>
    <t xml:space="preserve">Bolsa 1kg</t>
  </si>
  <si>
    <t xml:space="preserve">P003</t>
  </si>
  <si>
    <t xml:space="preserve">Aguacate</t>
  </si>
  <si>
    <t xml:space="preserve">unidad</t>
  </si>
  <si>
    <t xml:space="preserve">P004</t>
  </si>
  <si>
    <t xml:space="preserve">Tomate</t>
  </si>
  <si>
    <t xml:space="preserve">P005</t>
  </si>
  <si>
    <t xml:space="preserve">Cebolla</t>
  </si>
  <si>
    <t xml:space="preserve">P006</t>
  </si>
  <si>
    <t xml:space="preserve">Chayote</t>
  </si>
  <si>
    <t xml:space="preserve">P007</t>
  </si>
  <si>
    <t xml:space="preserve">Plátano maduro</t>
  </si>
  <si>
    <t xml:space="preserve">P008</t>
  </si>
  <si>
    <t xml:space="preserve">Naranja</t>
  </si>
  <si>
    <t xml:space="preserve">P009</t>
  </si>
  <si>
    <t xml:space="preserve">Lechuga</t>
  </si>
  <si>
    <t xml:space="preserve">P010</t>
  </si>
  <si>
    <t xml:space="preserve">Limón</t>
  </si>
  <si>
    <t xml:space="preserve">💡 Amarillo = escribís. Verde = se calcula solo. Agregá productos nuevos al final de la tabla (Tab).</t>
  </si>
  <si>
    <t xml:space="preserve">ID Ciclo</t>
  </si>
  <si>
    <t xml:space="preserve">Nombre</t>
  </si>
  <si>
    <t xml:space="preserve">Apertura Pedidos</t>
  </si>
  <si>
    <t xml:space="preserve">Cierre Pedidos</t>
  </si>
  <si>
    <t xml:space="preserve">Fecha Compra</t>
  </si>
  <si>
    <t xml:space="preserve">Fecha Entrega</t>
  </si>
  <si>
    <t xml:space="preserve">Estado</t>
  </si>
  <si>
    <t xml:space="preserve">Total Pedidos (₡)</t>
  </si>
  <si>
    <t xml:space="preserve"># Pedidos</t>
  </si>
  <si>
    <t xml:space="preserve">Pendiente Cobro (₡)</t>
  </si>
  <si>
    <t xml:space="preserve">C001</t>
  </si>
  <si>
    <t xml:space="preserve">Ronda 1 - Mayo</t>
  </si>
  <si>
    <t xml:space="preserve">05/05/2026</t>
  </si>
  <si>
    <t xml:space="preserve">07/05/2026 18:00</t>
  </si>
  <si>
    <t xml:space="preserve">08/05/2026</t>
  </si>
  <si>
    <t xml:space="preserve">09/05/2026</t>
  </si>
  <si>
    <t xml:space="preserve">Abierto</t>
  </si>
  <si>
    <t xml:space="preserve">💡 Cada fila = una ronda de pedidos. Cambiá el Estado a medida que avanza: Abierto → Cerrado - Por Comprar → Comprado → En Entrega → Finalizado.</t>
  </si>
  <si>
    <t xml:space="preserve">#</t>
  </si>
  <si>
    <t xml:space="preserve">Ciclo</t>
  </si>
  <si>
    <t xml:space="preserve">Fecha Pedido</t>
  </si>
  <si>
    <t xml:space="preserve">Tipo Cliente</t>
  </si>
  <si>
    <t xml:space="preserve">Cantidad</t>
  </si>
  <si>
    <t xml:space="preserve">Cliente</t>
  </si>
  <si>
    <t xml:space="preserve">Dirección</t>
  </si>
  <si>
    <t xml:space="preserve">Horario</t>
  </si>
  <si>
    <t xml:space="preserve">Método Pago</t>
  </si>
  <si>
    <t xml:space="preserve">Total (₡)</t>
  </si>
  <si>
    <t xml:space="preserve">Estado Entrega</t>
  </si>
  <si>
    <t xml:space="preserve">Estado Pago</t>
  </si>
  <si>
    <t xml:space="preserve">Casa</t>
  </si>
  <si>
    <t xml:space="preserve">María Rodríguez</t>
  </si>
  <si>
    <t xml:space="preserve">San Rafael 200m norte iglesia</t>
  </si>
  <si>
    <t xml:space="preserve">9:00 AM</t>
  </si>
  <si>
    <t xml:space="preserve">Efectivo</t>
  </si>
  <si>
    <t xml:space="preserve">Pendiente</t>
  </si>
  <si>
    <t xml:space="preserve">Edificio</t>
  </si>
  <si>
    <t xml:space="preserve">Edificio Los Arcos - Apto 201</t>
  </si>
  <si>
    <t xml:space="preserve">Torre 2, Apto 201</t>
  </si>
  <si>
    <t xml:space="preserve">10:00 AM</t>
  </si>
  <si>
    <t xml:space="preserve">SINPE</t>
  </si>
  <si>
    <t xml:space="preserve">06/05/2026</t>
  </si>
  <si>
    <t xml:space="preserve">Negocio</t>
  </si>
  <si>
    <t xml:space="preserve">Soda El Buen Sabor</t>
  </si>
  <si>
    <t xml:space="preserve">Centro comercial local</t>
  </si>
  <si>
    <t xml:space="preserve">8:00 AM</t>
  </si>
  <si>
    <t xml:space="preserve">Carlos Méndez</t>
  </si>
  <si>
    <t xml:space="preserve">Heredia centro, frente al parque</t>
  </si>
  <si>
    <t xml:space="preserve">11:00 AM</t>
  </si>
  <si>
    <t xml:space="preserve">Condominio Vista Verde - Casa 15</t>
  </si>
  <si>
    <t xml:space="preserve">Casa 15</t>
  </si>
  <si>
    <t xml:space="preserve">3:00 PM</t>
  </si>
  <si>
    <t xml:space="preserve">💡 Estado Entrega y Estado Pago son independientes: podés entregar y cobrar después.</t>
  </si>
  <si>
    <t xml:space="preserve">Total Pedido</t>
  </si>
  <si>
    <t xml:space="preserve">Sobrante Disponible</t>
  </si>
  <si>
    <t xml:space="preserve">Necesario Neto</t>
  </si>
  <si>
    <t xml:space="preserve">Margen Seguridad %</t>
  </si>
  <si>
    <t xml:space="preserve">Cant. a Comprar (Sugerida)</t>
  </si>
  <si>
    <t xml:space="preserve">Cant. Comprada (Real)</t>
  </si>
  <si>
    <t xml:space="preserve">Por Comprar</t>
  </si>
  <si>
    <t xml:space="preserve">💡 Antes de llenar "Sobrante Disponible", revisá la pestaña Sobrantes. El margen de seguridad (10% recomendado) cubre imprevistos.</t>
  </si>
  <si>
    <t xml:space="preserve">Cant. Vendida (Entregada)</t>
  </si>
  <si>
    <t xml:space="preserve">Sobrante</t>
  </si>
  <si>
    <t xml:space="preserve">¿Reutilizable?</t>
  </si>
  <si>
    <t xml:space="preserve">Notas</t>
  </si>
  <si>
    <t xml:space="preserve">💡 Llená esta hoja DESPUÉS de comprar y entregar. Si algo sobra y es reutilizable (ej: papa), anotalo en Sobrante Disponible del próximo ciclo en Lista de Compras.</t>
  </si>
  <si>
    <t xml:space="preserve">Fecha</t>
  </si>
  <si>
    <t xml:space="preserve">Proveedor</t>
  </si>
  <si>
    <t xml:space="preserve">Costo Total (₡)</t>
  </si>
  <si>
    <t xml:space="preserve">💡 Comprá según la columna 'Cant. a Comprar (Sugerida)' de Lista de Compras. Después anotá aquí lo que compraste real.</t>
  </si>
  <si>
    <t xml:space="preserve">Tipo</t>
  </si>
  <si>
    <t xml:space="preserve">Teléfono</t>
  </si>
  <si>
    <t xml:space="preserve">Dirección Base</t>
  </si>
  <si>
    <t xml:space="preserve">Total Compras (₡)</t>
  </si>
  <si>
    <t xml:space="preserve">Última Compra</t>
  </si>
  <si>
    <t xml:space="preserve">8888-8888</t>
  </si>
  <si>
    <t xml:space="preserve">San Rafael</t>
  </si>
  <si>
    <t xml:space="preserve">C002</t>
  </si>
  <si>
    <t xml:space="preserve">Edificio Los Arcos</t>
  </si>
  <si>
    <t xml:space="preserve">8777-7777</t>
  </si>
  <si>
    <t xml:space="preserve">Heredia Centro</t>
  </si>
  <si>
    <t xml:space="preserve">C003</t>
  </si>
  <si>
    <t xml:space="preserve">8666-6666</t>
  </si>
  <si>
    <t xml:space="preserve">Centro comercial</t>
  </si>
  <si>
    <t xml:space="preserve">C004</t>
  </si>
  <si>
    <t xml:space="preserve">8555-5555</t>
  </si>
  <si>
    <t xml:space="preserve">Heredia centro</t>
  </si>
  <si>
    <t xml:space="preserve">C005</t>
  </si>
  <si>
    <t xml:space="preserve">Condominio Vista Verde</t>
  </si>
  <si>
    <t xml:space="preserve">8444-4444</t>
  </si>
  <si>
    <t xml:space="preserve">Ciclo (opcional)</t>
  </si>
  <si>
    <t xml:space="preserve">Categoría</t>
  </si>
  <si>
    <t xml:space="preserve">Descripción</t>
  </si>
  <si>
    <t xml:space="preserve">Monto (₡)</t>
  </si>
  <si>
    <t xml:space="preserve">Fijo</t>
  </si>
  <si>
    <t xml:space="preserve">Alquiler bodega</t>
  </si>
  <si>
    <t xml:space="preserve">Mensual</t>
  </si>
  <si>
    <t xml:space="preserve">Variable</t>
  </si>
  <si>
    <t xml:space="preserve">Gasolina compra+entrega</t>
  </si>
  <si>
    <t xml:space="preserve">Por ciclo</t>
  </si>
  <si>
    <t xml:space="preserve">Bolsas plástico</t>
  </si>
  <si>
    <t xml:space="preserve">📊 RESUMEN DEL NEGOCIO</t>
  </si>
  <si>
    <t xml:space="preserve">💰 HISTÓRICO (todos los ciclos)</t>
  </si>
  <si>
    <t xml:space="preserve">⚠️ ALERTAS</t>
  </si>
  <si>
    <t xml:space="preserve">Total vendido:</t>
  </si>
  <si>
    <t xml:space="preserve">Productos con sobrante &gt; 0:</t>
  </si>
  <si>
    <t xml:space="preserve">Pedidos pendientes de entrega:</t>
  </si>
  <si>
    <t xml:space="preserve">Compras aún no realizadas:</t>
  </si>
  <si>
    <t xml:space="preserve">Pedidos pendientes de cobro:</t>
  </si>
  <si>
    <t xml:space="preserve">Monto pendiente de cobro (₡):</t>
  </si>
  <si>
    <t xml:space="preserve">🔄 CICLOS</t>
  </si>
  <si>
    <t xml:space="preserve">Ciclos activos (no finalizados):</t>
  </si>
  <si>
    <t xml:space="preserve">Ver detalle por ronda en la pestaña "Ciclos" →</t>
  </si>
  <si>
    <t xml:space="preserve">🏆 TOP 5 PRODUCTOS (histórico)</t>
  </si>
  <si>
    <t xml:space="preserve">Unidades vendidas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</si>
</sst>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sz val="10"/>
      <color rgb="FF1F4E78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3"/>
      <name val="Cambria"/>
      <family val="0"/>
      <charset val="1"/>
    </font>
    <font>
      <i val="true"/>
      <sz val="10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9E6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  <fill>
      <patternFill patternType="solid">
        <fgColor rgb="FF203864"/>
        <bgColor rgb="FF1F4E78"/>
      </patternFill>
    </fill>
    <fill>
      <patternFill patternType="solid">
        <fgColor rgb="FFFADBD8"/>
        <bgColor rgb="FFFFF2CC"/>
      </patternFill>
    </fill>
    <fill>
      <patternFill patternType="solid">
        <fgColor rgb="FFFFF9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5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ADBD8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Catalogo" displayName="Tbl_Catalogo" ref="A1:I11" headerRowCount="1" totalsRowCount="0" totalsRowShown="0">
  <autoFilter ref="A1:I11"/>
  <tableColumns count="9">
    <tableColumn id="1" name="ID"/>
    <tableColumn id="2" name="Producto"/>
    <tableColumn id="3" name="Unidad"/>
    <tableColumn id="4" name="Costo Compra (₡)"/>
    <tableColumn id="5" name="Presentación"/>
    <tableColumn id="6" name="Vida Útil (días)"/>
    <tableColumn id="7" name="Merma %"/>
    <tableColumn id="8" name="Margen %"/>
    <tableColumn id="9" name="Precio Venta (₡)"/>
  </tableColumns>
</table>
</file>

<file path=xl/tables/table2.xml><?xml version="1.0" encoding="utf-8"?>
<table xmlns="http://schemas.openxmlformats.org/spreadsheetml/2006/main" id="2" name="Tbl_Ciclos" displayName="Tbl_Ciclos" ref="A1:J30" headerRowCount="1" totalsRowCount="0" totalsRowShown="0">
  <autoFilter ref="A1:J30"/>
  <tableColumns count="10">
    <tableColumn id="1" name="ID Ciclo"/>
    <tableColumn id="2" name="Nombre"/>
    <tableColumn id="3" name="Apertura Pedidos"/>
    <tableColumn id="4" name="Cierre Pedidos"/>
    <tableColumn id="5" name="Fecha Compra"/>
    <tableColumn id="6" name="Fecha Entrega"/>
    <tableColumn id="7" name="Estado"/>
    <tableColumn id="8" name="Total Pedidos (₡)"/>
    <tableColumn id="9" name="# Pedidos"/>
    <tableColumn id="10" name="Pendiente Cobro (₡)"/>
  </tableColumns>
</table>
</file>

<file path=xl/tables/table3.xml><?xml version="1.0" encoding="utf-8"?>
<table xmlns="http://schemas.openxmlformats.org/spreadsheetml/2006/main" id="3" name="Tbl_Clientes" displayName="Tbl_Clientes" ref="A1:G6" headerRowCount="1" totalsRowCount="0" totalsRowShown="0">
  <autoFilter ref="A1:G6"/>
  <tableColumns count="7">
    <tableColumn id="1" name="ID"/>
    <tableColumn id="2" name="Nombre"/>
    <tableColumn id="3" name="Tipo"/>
    <tableColumn id="4" name="Teléfono"/>
    <tableColumn id="5" name="Dirección Base"/>
    <tableColumn id="6" name="Total Compras (₡)"/>
    <tableColumn id="7" name="Última Compra"/>
  </tableColumns>
</table>
</file>

<file path=xl/tables/table4.xml><?xml version="1.0" encoding="utf-8"?>
<table xmlns="http://schemas.openxmlformats.org/spreadsheetml/2006/main" id="4" name="Tbl_Compras" displayName="Tbl_Compras" ref="A1:H100" headerRowCount="1" totalsRowCount="0" totalsRowShown="0">
  <autoFilter ref="A1:H100"/>
  <tableColumns count="8">
    <tableColumn id="1" name="Fecha"/>
    <tableColumn id="2" name="Ciclo"/>
    <tableColumn id="3" name="Proveedor"/>
    <tableColumn id="4" name="Producto"/>
    <tableColumn id="5" name="Cantidad"/>
    <tableColumn id="6" name="Costo Total (₡)"/>
    <tableColumn id="7" name="Fecha Entrega"/>
    <tableColumn id="8" name="Estado"/>
  </tableColumns>
</table>
</file>

<file path=xl/tables/table5.xml><?xml version="1.0" encoding="utf-8"?>
<table xmlns="http://schemas.openxmlformats.org/spreadsheetml/2006/main" id="5" name="Tbl_Gastos" displayName="Tbl_Gastos" ref="A1:F50" headerRowCount="1" totalsRowCount="0" totalsRowShown="0">
  <autoFilter ref="A1:F50"/>
  <tableColumns count="6">
    <tableColumn id="1" name="Fecha"/>
    <tableColumn id="2" name="Ciclo (opcional)"/>
    <tableColumn id="3" name="Categoría"/>
    <tableColumn id="4" name="Descripción"/>
    <tableColumn id="5" name="Monto (₡)"/>
    <tableColumn id="6" name="Tipo"/>
  </tableColumns>
</table>
</file>

<file path=xl/tables/table6.xml><?xml version="1.0" encoding="utf-8"?>
<table xmlns="http://schemas.openxmlformats.org/spreadsheetml/2006/main" id="6" name="Tbl_ListaCompras" displayName="Tbl_ListaCompras" ref="A1:I200" headerRowCount="1" totalsRowCount="0" totalsRowShown="0">
  <autoFilter ref="A1:I200"/>
  <tableColumns count="9">
    <tableColumn id="1" name="Ciclo"/>
    <tableColumn id="2" name="Producto"/>
    <tableColumn id="3" name="Total Pedido"/>
    <tableColumn id="4" name="Sobrante Disponible"/>
    <tableColumn id="5" name="Necesario Neto"/>
    <tableColumn id="6" name="Margen Seguridad %"/>
    <tableColumn id="7" name="Cant. a Comprar (Sugerida)"/>
    <tableColumn id="8" name="Cant. Comprada (Real)"/>
    <tableColumn id="9" name="Estado"/>
  </tableColumns>
</table>
</file>

<file path=xl/tables/table7.xml><?xml version="1.0" encoding="utf-8"?>
<table xmlns="http://schemas.openxmlformats.org/spreadsheetml/2006/main" id="7" name="Tbl_Pedidos" displayName="Tbl_Pedidos" ref="A1:M100" headerRowCount="1" totalsRowCount="0" totalsRowShown="0">
  <autoFilter ref="A1:M100"/>
  <tableColumns count="13">
    <tableColumn id="1" name="#"/>
    <tableColumn id="2" name="Ciclo"/>
    <tableColumn id="3" name="Fecha Pedido"/>
    <tableColumn id="4" name="Producto"/>
    <tableColumn id="5" name="Tipo Cliente"/>
    <tableColumn id="6" name="Cantidad"/>
    <tableColumn id="7" name="Cliente"/>
    <tableColumn id="8" name="Dirección"/>
    <tableColumn id="9" name="Horario"/>
    <tableColumn id="10" name="Método Pago"/>
    <tableColumn id="11" name="Total (₡)"/>
    <tableColumn id="12" name="Estado Entrega"/>
    <tableColumn id="13" name="Estado Pago"/>
  </tableColumns>
</table>
</file>

<file path=xl/tables/table8.xml><?xml version="1.0" encoding="utf-8"?>
<table xmlns="http://schemas.openxmlformats.org/spreadsheetml/2006/main" id="8" name="Tbl_Sobrantes" displayName="Tbl_Sobrantes" ref="A1:G200" headerRowCount="1" totalsRowCount="0" totalsRowShown="0">
  <autoFilter ref="A1:G200"/>
  <tableColumns count="7">
    <tableColumn id="1" name="Ciclo"/>
    <tableColumn id="2" name="Producto"/>
    <tableColumn id="3" name="Cant. Comprada (Real)"/>
    <tableColumn id="4" name="Cant. Vendida (Entregada)"/>
    <tableColumn id="5" name="Sobrante"/>
    <tableColumn id="6" name="¿Reutilizable?"/>
    <tableColumn id="7" name="Nota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2" t="s">
        <v>10</v>
      </c>
      <c r="C2" s="2" t="s">
        <v>11</v>
      </c>
      <c r="D2" s="2" t="n">
        <v>800</v>
      </c>
      <c r="E2" s="2" t="s">
        <v>12</v>
      </c>
      <c r="F2" s="2" t="n">
        <v>5</v>
      </c>
      <c r="G2" s="2" t="n">
        <v>10</v>
      </c>
      <c r="H2" s="2" t="n">
        <v>35</v>
      </c>
      <c r="I2" s="3" t="n">
        <f aca="false">ROUND(D2/(1-G2/100)*(1+H2/100),0)</f>
        <v>1200</v>
      </c>
    </row>
    <row r="3" customFormat="false" ht="15" hidden="false" customHeight="false" outlineLevel="0" collapsed="false">
      <c r="A3" s="0" t="s">
        <v>13</v>
      </c>
      <c r="B3" s="2" t="s">
        <v>14</v>
      </c>
      <c r="C3" s="2" t="s">
        <v>15</v>
      </c>
      <c r="D3" s="2" t="n">
        <v>600</v>
      </c>
      <c r="E3" s="2" t="s">
        <v>16</v>
      </c>
      <c r="F3" s="2" t="n">
        <v>14</v>
      </c>
      <c r="G3" s="2" t="n">
        <v>5</v>
      </c>
      <c r="H3" s="2" t="n">
        <v>30</v>
      </c>
      <c r="I3" s="3" t="n">
        <f aca="false">ROUND(D3/(1-G3/100)*(1+H3/100),0)</f>
        <v>821</v>
      </c>
    </row>
    <row r="4" customFormat="false" ht="15" hidden="false" customHeight="false" outlineLevel="0" collapsed="false">
      <c r="A4" s="0" t="s">
        <v>17</v>
      </c>
      <c r="B4" s="2" t="s">
        <v>18</v>
      </c>
      <c r="C4" s="2" t="s">
        <v>19</v>
      </c>
      <c r="D4" s="2" t="n">
        <v>500</v>
      </c>
      <c r="E4" s="2" t="s">
        <v>2</v>
      </c>
      <c r="F4" s="2" t="n">
        <v>7</v>
      </c>
      <c r="G4" s="2" t="n">
        <v>15</v>
      </c>
      <c r="H4" s="2" t="n">
        <v>40</v>
      </c>
      <c r="I4" s="3" t="n">
        <f aca="false">ROUND(D4/(1-G4/100)*(1+H4/100),0)</f>
        <v>824</v>
      </c>
    </row>
    <row r="5" customFormat="false" ht="15" hidden="false" customHeight="false" outlineLevel="0" collapsed="false">
      <c r="A5" s="0" t="s">
        <v>20</v>
      </c>
      <c r="B5" s="2" t="s">
        <v>21</v>
      </c>
      <c r="C5" s="2" t="s">
        <v>15</v>
      </c>
      <c r="D5" s="2" t="n">
        <v>800</v>
      </c>
      <c r="E5" s="2" t="s">
        <v>16</v>
      </c>
      <c r="F5" s="2" t="n">
        <v>7</v>
      </c>
      <c r="G5" s="2" t="n">
        <v>20</v>
      </c>
      <c r="H5" s="2" t="n">
        <v>45</v>
      </c>
      <c r="I5" s="3" t="n">
        <f aca="false">ROUND(D5/(1-G5/100)*(1+H5/100),0)</f>
        <v>1450</v>
      </c>
    </row>
    <row r="6" customFormat="false" ht="15" hidden="false" customHeight="false" outlineLevel="0" collapsed="false">
      <c r="A6" s="0" t="s">
        <v>22</v>
      </c>
      <c r="B6" s="2" t="s">
        <v>23</v>
      </c>
      <c r="C6" s="2" t="s">
        <v>15</v>
      </c>
      <c r="D6" s="2" t="n">
        <v>500</v>
      </c>
      <c r="E6" s="2" t="s">
        <v>16</v>
      </c>
      <c r="F6" s="2" t="n">
        <v>30</v>
      </c>
      <c r="G6" s="2" t="n">
        <v>5</v>
      </c>
      <c r="H6" s="2" t="n">
        <v>25</v>
      </c>
      <c r="I6" s="3" t="n">
        <f aca="false">ROUND(D6/(1-G6/100)*(1+H6/100),0)</f>
        <v>658</v>
      </c>
    </row>
    <row r="7" customFormat="false" ht="15" hidden="false" customHeight="false" outlineLevel="0" collapsed="false">
      <c r="A7" s="0" t="s">
        <v>24</v>
      </c>
      <c r="B7" s="2" t="s">
        <v>25</v>
      </c>
      <c r="C7" s="2" t="s">
        <v>19</v>
      </c>
      <c r="D7" s="2" t="n">
        <v>200</v>
      </c>
      <c r="E7" s="2" t="s">
        <v>2</v>
      </c>
      <c r="F7" s="2" t="n">
        <v>14</v>
      </c>
      <c r="G7" s="2" t="n">
        <v>10</v>
      </c>
      <c r="H7" s="2" t="n">
        <v>30</v>
      </c>
      <c r="I7" s="3" t="n">
        <f aca="false">ROUND(D7/(1-G7/100)*(1+H7/100),0)</f>
        <v>289</v>
      </c>
    </row>
    <row r="8" customFormat="false" ht="15" hidden="false" customHeight="false" outlineLevel="0" collapsed="false">
      <c r="A8" s="0" t="s">
        <v>26</v>
      </c>
      <c r="B8" s="2" t="s">
        <v>27</v>
      </c>
      <c r="C8" s="2" t="s">
        <v>19</v>
      </c>
      <c r="D8" s="2" t="n">
        <v>150</v>
      </c>
      <c r="E8" s="2" t="s">
        <v>2</v>
      </c>
      <c r="F8" s="2" t="n">
        <v>5</v>
      </c>
      <c r="G8" s="2" t="n">
        <v>15</v>
      </c>
      <c r="H8" s="2" t="n">
        <v>35</v>
      </c>
      <c r="I8" s="3" t="n">
        <f aca="false">ROUND(D8/(1-G8/100)*(1+H8/100),0)</f>
        <v>238</v>
      </c>
    </row>
    <row r="9" customFormat="false" ht="15" hidden="false" customHeight="false" outlineLevel="0" collapsed="false">
      <c r="A9" s="0" t="s">
        <v>28</v>
      </c>
      <c r="B9" s="2" t="s">
        <v>29</v>
      </c>
      <c r="C9" s="2" t="s">
        <v>15</v>
      </c>
      <c r="D9" s="2" t="n">
        <v>700</v>
      </c>
      <c r="E9" s="2" t="s">
        <v>16</v>
      </c>
      <c r="F9" s="2" t="n">
        <v>14</v>
      </c>
      <c r="G9" s="2" t="n">
        <v>10</v>
      </c>
      <c r="H9" s="2" t="n">
        <v>30</v>
      </c>
      <c r="I9" s="3" t="n">
        <f aca="false">ROUND(D9/(1-G9/100)*(1+H9/100),0)</f>
        <v>1011</v>
      </c>
    </row>
    <row r="10" customFormat="false" ht="15" hidden="false" customHeight="false" outlineLevel="0" collapsed="false">
      <c r="A10" s="0" t="s">
        <v>30</v>
      </c>
      <c r="B10" s="2" t="s">
        <v>31</v>
      </c>
      <c r="C10" s="2" t="s">
        <v>19</v>
      </c>
      <c r="D10" s="2" t="n">
        <v>400</v>
      </c>
      <c r="E10" s="2" t="s">
        <v>2</v>
      </c>
      <c r="F10" s="2" t="n">
        <v>7</v>
      </c>
      <c r="G10" s="2" t="n">
        <v>20</v>
      </c>
      <c r="H10" s="2" t="n">
        <v>40</v>
      </c>
      <c r="I10" s="3" t="n">
        <f aca="false">ROUND(D10/(1-G10/100)*(1+H10/100),0)</f>
        <v>700</v>
      </c>
    </row>
    <row r="11" customFormat="false" ht="15" hidden="false" customHeight="false" outlineLevel="0" collapsed="false">
      <c r="A11" s="0" t="s">
        <v>32</v>
      </c>
      <c r="B11" s="2" t="s">
        <v>33</v>
      </c>
      <c r="C11" s="2" t="s">
        <v>15</v>
      </c>
      <c r="D11" s="2" t="n">
        <v>600</v>
      </c>
      <c r="E11" s="2" t="s">
        <v>16</v>
      </c>
      <c r="F11" s="2" t="n">
        <v>14</v>
      </c>
      <c r="G11" s="2" t="n">
        <v>10</v>
      </c>
      <c r="H11" s="2" t="n">
        <v>35</v>
      </c>
      <c r="I11" s="3" t="n">
        <f aca="false">ROUND(D11/(1-G11/100)*(1+H11/100),0)</f>
        <v>900</v>
      </c>
    </row>
    <row r="13" customFormat="false" ht="15" hidden="false" customHeight="false" outlineLevel="0" collapsed="false">
      <c r="A13" s="4" t="s">
        <v>34</v>
      </c>
      <c r="B13" s="4"/>
      <c r="C13" s="4"/>
      <c r="D13" s="4"/>
      <c r="E13" s="4"/>
      <c r="F13" s="4"/>
      <c r="G13" s="4"/>
      <c r="H13" s="4"/>
      <c r="I13" s="4"/>
    </row>
  </sheetData>
  <sheetProtection sheet="true" formatCells="false" formatColumns="false" formatRows="false"/>
  <mergeCells count="1"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28.35" hidden="false" customHeight="fals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customFormat="false" ht="15" hidden="false" customHeight="false" outlineLevel="0" collapsed="false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3" t="n">
        <f aca="false">SUMIFS(Tbl_Pedidos[Total (₡)],Tbl_Pedidos[Ciclo],A2)</f>
        <v>21645</v>
      </c>
      <c r="I2" s="3" t="n">
        <f aca="false">COUNTIFS(Tbl_Pedidos[Ciclo],A2)</f>
        <v>5</v>
      </c>
      <c r="J2" s="3" t="n">
        <f aca="false">SUMIFS(Tbl_Pedidos[Total (₡)],Tbl_Pedidos[Ciclo],A2,Tbl_Pedidos[Estado Pago],"Pendiente")</f>
        <v>21645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</row>
    <row r="32" customFormat="false" ht="15" hidden="false" customHeight="false" outlineLevel="0" collapsed="false">
      <c r="A32" s="4" t="s">
        <v>52</v>
      </c>
      <c r="B32" s="4"/>
      <c r="C32" s="4"/>
      <c r="D32" s="4"/>
      <c r="E32" s="4"/>
      <c r="F32" s="4"/>
      <c r="G32" s="4"/>
      <c r="H32" s="4"/>
      <c r="I32" s="4"/>
      <c r="J32" s="4"/>
    </row>
  </sheetData>
  <sheetProtection sheet="true" formatCells="false" formatColumns="false" formatRows="false"/>
  <mergeCells count="1">
    <mergeCell ref="A32:J32"/>
  </mergeCells>
  <dataValidations count="1">
    <dataValidation allowBlank="true" error="Valor no válido. Usa la lista." errorStyle="stop" errorTitle="❌ Valor no permitido" operator="between" prompt="Elige de la lista" promptTitle="Selecciona una opción" showDropDown="false" showErrorMessage="true" showInputMessage="false" sqref="G2:G30" type="list">
      <formula1>"Abierto,Cerrado - Por Comprar,Comprado,En Entrega,Finalizado"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5"/>
  </cols>
  <sheetData>
    <row r="1" customFormat="false" ht="28.35" hidden="false" customHeight="false" outlineLevel="0" collapsed="false">
      <c r="A1" s="1" t="s">
        <v>53</v>
      </c>
      <c r="B1" s="1" t="s">
        <v>54</v>
      </c>
      <c r="C1" s="1" t="s">
        <v>55</v>
      </c>
      <c r="D1" s="1" t="s">
        <v>1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customFormat="false" ht="15" hidden="false" customHeight="false" outlineLevel="0" collapsed="false">
      <c r="A2" s="0" t="n">
        <v>1</v>
      </c>
      <c r="B2" s="2" t="s">
        <v>45</v>
      </c>
      <c r="C2" s="2" t="s">
        <v>47</v>
      </c>
      <c r="D2" s="2" t="s">
        <v>10</v>
      </c>
      <c r="E2" s="2" t="s">
        <v>65</v>
      </c>
      <c r="F2" s="2" t="n">
        <v>3</v>
      </c>
      <c r="G2" s="2" t="s">
        <v>66</v>
      </c>
      <c r="H2" s="2" t="s">
        <v>67</v>
      </c>
      <c r="I2" s="2" t="s">
        <v>68</v>
      </c>
      <c r="J2" s="2" t="s">
        <v>69</v>
      </c>
      <c r="K2" s="3" t="n">
        <f aca="false">IF(D2="","",F2*VLOOKUP(D2,Tbl_Catalogo[[Producto]:[Precio Venta (₡)]],8,FALSE()))</f>
        <v>3600</v>
      </c>
      <c r="L2" s="2" t="s">
        <v>70</v>
      </c>
      <c r="M2" s="2" t="s">
        <v>70</v>
      </c>
    </row>
    <row r="3" customFormat="false" ht="15" hidden="false" customHeight="false" outlineLevel="0" collapsed="false">
      <c r="A3" s="0" t="n">
        <v>2</v>
      </c>
      <c r="B3" s="2" t="s">
        <v>45</v>
      </c>
      <c r="C3" s="2" t="s">
        <v>47</v>
      </c>
      <c r="D3" s="2" t="s">
        <v>14</v>
      </c>
      <c r="E3" s="2" t="s">
        <v>71</v>
      </c>
      <c r="F3" s="2" t="n">
        <v>5</v>
      </c>
      <c r="G3" s="2" t="s">
        <v>72</v>
      </c>
      <c r="H3" s="2" t="s">
        <v>73</v>
      </c>
      <c r="I3" s="2" t="s">
        <v>74</v>
      </c>
      <c r="J3" s="2" t="s">
        <v>75</v>
      </c>
      <c r="K3" s="3" t="n">
        <f aca="false">IF(D3="","",F3*VLOOKUP(D3,Tbl_Catalogo[[Producto]:[Precio Venta (₡)]],8,FALSE()))</f>
        <v>4105</v>
      </c>
      <c r="L3" s="2" t="s">
        <v>70</v>
      </c>
      <c r="M3" s="2" t="s">
        <v>70</v>
      </c>
    </row>
    <row r="4" customFormat="false" ht="15" hidden="false" customHeight="false" outlineLevel="0" collapsed="false">
      <c r="A4" s="0" t="n">
        <v>3</v>
      </c>
      <c r="B4" s="2" t="s">
        <v>45</v>
      </c>
      <c r="C4" s="2" t="s">
        <v>76</v>
      </c>
      <c r="D4" s="2" t="s">
        <v>18</v>
      </c>
      <c r="E4" s="2" t="s">
        <v>77</v>
      </c>
      <c r="F4" s="2" t="n">
        <v>10</v>
      </c>
      <c r="G4" s="2" t="s">
        <v>78</v>
      </c>
      <c r="H4" s="2" t="s">
        <v>79</v>
      </c>
      <c r="I4" s="2" t="s">
        <v>80</v>
      </c>
      <c r="J4" s="2" t="s">
        <v>69</v>
      </c>
      <c r="K4" s="3" t="n">
        <f aca="false">IF(D4="","",F4*VLOOKUP(D4,Tbl_Catalogo[[Producto]:[Precio Venta (₡)]],8,FALSE()))</f>
        <v>8240</v>
      </c>
      <c r="L4" s="2" t="s">
        <v>70</v>
      </c>
      <c r="M4" s="2" t="s">
        <v>70</v>
      </c>
    </row>
    <row r="5" customFormat="false" ht="15" hidden="false" customHeight="false" outlineLevel="0" collapsed="false">
      <c r="A5" s="0" t="n">
        <v>4</v>
      </c>
      <c r="B5" s="2" t="s">
        <v>45</v>
      </c>
      <c r="C5" s="2" t="s">
        <v>76</v>
      </c>
      <c r="D5" s="2" t="s">
        <v>21</v>
      </c>
      <c r="E5" s="2" t="s">
        <v>65</v>
      </c>
      <c r="F5" s="2" t="n">
        <v>2</v>
      </c>
      <c r="G5" s="2" t="s">
        <v>81</v>
      </c>
      <c r="H5" s="2" t="s">
        <v>82</v>
      </c>
      <c r="I5" s="2" t="s">
        <v>83</v>
      </c>
      <c r="J5" s="2" t="s">
        <v>75</v>
      </c>
      <c r="K5" s="3" t="n">
        <f aca="false">IF(D5="","",F5*VLOOKUP(D5,Tbl_Catalogo[[Producto]:[Precio Venta (₡)]],8,FALSE()))</f>
        <v>2900</v>
      </c>
      <c r="L5" s="2" t="s">
        <v>70</v>
      </c>
      <c r="M5" s="2" t="s">
        <v>70</v>
      </c>
    </row>
    <row r="6" customFormat="false" ht="15" hidden="false" customHeight="false" outlineLevel="0" collapsed="false">
      <c r="A6" s="0" t="n">
        <v>5</v>
      </c>
      <c r="B6" s="2" t="s">
        <v>45</v>
      </c>
      <c r="C6" s="2" t="s">
        <v>76</v>
      </c>
      <c r="D6" s="2" t="s">
        <v>31</v>
      </c>
      <c r="E6" s="2" t="s">
        <v>71</v>
      </c>
      <c r="F6" s="2" t="n">
        <v>4</v>
      </c>
      <c r="G6" s="2" t="s">
        <v>84</v>
      </c>
      <c r="H6" s="2" t="s">
        <v>85</v>
      </c>
      <c r="I6" s="2" t="s">
        <v>86</v>
      </c>
      <c r="J6" s="2" t="s">
        <v>69</v>
      </c>
      <c r="K6" s="3" t="n">
        <f aca="false">IF(D6="","",F6*VLOOKUP(D6,Tbl_Catalogo[[Producto]:[Precio Venta (₡)]],8,FALSE()))</f>
        <v>2800</v>
      </c>
      <c r="L6" s="2" t="s">
        <v>70</v>
      </c>
      <c r="M6" s="2" t="s">
        <v>70</v>
      </c>
    </row>
    <row r="7" customFormat="false" ht="15" hidden="false" customHeight="false" outlineLevel="0" collapsed="false">
      <c r="B7" s="5"/>
      <c r="C7" s="5"/>
      <c r="D7" s="5"/>
      <c r="E7" s="5"/>
      <c r="F7" s="5"/>
      <c r="G7" s="5"/>
      <c r="H7" s="5"/>
      <c r="I7" s="5"/>
      <c r="J7" s="5"/>
      <c r="L7" s="5"/>
      <c r="M7" s="5"/>
    </row>
    <row r="8" customFormat="false" ht="15" hidden="false" customHeight="false" outlineLevel="0" collapsed="false">
      <c r="A8" s="4" t="s">
        <v>87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15" hidden="false" customHeight="false" outlineLevel="0" collapsed="false">
      <c r="B9" s="5"/>
      <c r="C9" s="5"/>
      <c r="D9" s="5"/>
      <c r="E9" s="5"/>
      <c r="F9" s="5"/>
      <c r="G9" s="5"/>
      <c r="H9" s="5"/>
      <c r="I9" s="5"/>
      <c r="J9" s="5"/>
      <c r="L9" s="5"/>
      <c r="M9" s="5"/>
    </row>
    <row r="10" customFormat="false" ht="15" hidden="false" customHeight="false" outlineLevel="0" collapsed="false">
      <c r="B10" s="5"/>
      <c r="C10" s="5"/>
      <c r="D10" s="5"/>
      <c r="E10" s="5"/>
      <c r="F10" s="5"/>
      <c r="G10" s="5"/>
      <c r="H10" s="5"/>
      <c r="I10" s="5"/>
      <c r="J10" s="5"/>
      <c r="L10" s="5"/>
      <c r="M10" s="5"/>
    </row>
    <row r="11" customFormat="false" ht="15" hidden="false" customHeight="false" outlineLevel="0" collapsed="false">
      <c r="B11" s="5"/>
      <c r="C11" s="5"/>
      <c r="D11" s="5"/>
      <c r="E11" s="5"/>
      <c r="F11" s="5"/>
      <c r="G11" s="5"/>
      <c r="H11" s="5"/>
      <c r="I11" s="5"/>
      <c r="J11" s="5"/>
      <c r="L11" s="5"/>
      <c r="M11" s="5"/>
    </row>
    <row r="12" customFormat="false" ht="15" hidden="false" customHeight="false" outlineLevel="0" collapsed="false">
      <c r="B12" s="5"/>
      <c r="C12" s="5"/>
      <c r="D12" s="5"/>
      <c r="E12" s="5"/>
      <c r="F12" s="5"/>
      <c r="G12" s="5"/>
      <c r="H12" s="5"/>
      <c r="I12" s="5"/>
      <c r="J12" s="5"/>
      <c r="L12" s="5"/>
      <c r="M12" s="5"/>
    </row>
    <row r="13" customFormat="false" ht="15" hidden="false" customHeight="false" outlineLevel="0" collapsed="false">
      <c r="B13" s="5"/>
      <c r="C13" s="5"/>
      <c r="D13" s="5"/>
      <c r="E13" s="5"/>
      <c r="F13" s="5"/>
      <c r="G13" s="5"/>
      <c r="H13" s="5"/>
      <c r="I13" s="5"/>
      <c r="J13" s="5"/>
      <c r="L13" s="5"/>
      <c r="M13" s="5"/>
    </row>
    <row r="14" customFormat="false" ht="15" hidden="false" customHeight="false" outlineLevel="0" collapsed="false">
      <c r="B14" s="5"/>
      <c r="C14" s="5"/>
      <c r="D14" s="5"/>
      <c r="E14" s="5"/>
      <c r="F14" s="5"/>
      <c r="G14" s="5"/>
      <c r="H14" s="5"/>
      <c r="I14" s="5"/>
      <c r="J14" s="5"/>
      <c r="L14" s="5"/>
      <c r="M14" s="5"/>
    </row>
    <row r="15" customFormat="false" ht="15" hidden="false" customHeight="false" outlineLevel="0" collapsed="false">
      <c r="B15" s="5"/>
      <c r="C15" s="5"/>
      <c r="D15" s="5"/>
      <c r="E15" s="5"/>
      <c r="F15" s="5"/>
      <c r="G15" s="5"/>
      <c r="H15" s="5"/>
      <c r="I15" s="5"/>
      <c r="J15" s="5"/>
      <c r="L15" s="5"/>
      <c r="M15" s="5"/>
    </row>
    <row r="16" customFormat="false" ht="1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L16" s="5"/>
      <c r="M16" s="5"/>
    </row>
    <row r="17" customFormat="false" ht="15" hidden="false" customHeight="false" outlineLevel="0" collapsed="false">
      <c r="B17" s="5"/>
      <c r="C17" s="5"/>
      <c r="D17" s="5"/>
      <c r="E17" s="5"/>
      <c r="F17" s="5"/>
      <c r="G17" s="5"/>
      <c r="H17" s="5"/>
      <c r="I17" s="5"/>
      <c r="J17" s="5"/>
      <c r="L17" s="5"/>
      <c r="M17" s="5"/>
    </row>
    <row r="18" customFormat="false" ht="1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L18" s="5"/>
      <c r="M18" s="5"/>
    </row>
    <row r="19" customFormat="false" ht="15" hidden="false" customHeight="false" outlineLevel="0" collapsed="false">
      <c r="B19" s="5"/>
      <c r="C19" s="5"/>
      <c r="D19" s="5"/>
      <c r="E19" s="5"/>
      <c r="F19" s="5"/>
      <c r="G19" s="5"/>
      <c r="H19" s="5"/>
      <c r="I19" s="5"/>
      <c r="J19" s="5"/>
      <c r="L19" s="5"/>
      <c r="M19" s="5"/>
    </row>
    <row r="20" customFormat="false" ht="15" hidden="false" customHeight="false" outlineLevel="0" collapsed="false">
      <c r="B20" s="5"/>
      <c r="C20" s="5"/>
      <c r="D20" s="5"/>
      <c r="E20" s="5"/>
      <c r="F20" s="5"/>
      <c r="G20" s="5"/>
      <c r="H20" s="5"/>
      <c r="I20" s="5"/>
      <c r="J20" s="5"/>
      <c r="L20" s="5"/>
      <c r="M20" s="5"/>
    </row>
    <row r="21" customFormat="false" ht="15" hidden="false" customHeight="false" outlineLevel="0" collapsed="false">
      <c r="B21" s="5"/>
      <c r="C21" s="5"/>
      <c r="D21" s="5"/>
      <c r="E21" s="5"/>
      <c r="F21" s="5"/>
      <c r="G21" s="5"/>
      <c r="H21" s="5"/>
      <c r="I21" s="5"/>
      <c r="J21" s="5"/>
      <c r="L21" s="5"/>
      <c r="M21" s="5"/>
    </row>
    <row r="22" customFormat="false" ht="15" hidden="false" customHeight="false" outlineLevel="0" collapsed="false">
      <c r="B22" s="5"/>
      <c r="C22" s="5"/>
      <c r="D22" s="5"/>
      <c r="E22" s="5"/>
      <c r="F22" s="5"/>
      <c r="G22" s="5"/>
      <c r="H22" s="5"/>
      <c r="I22" s="5"/>
      <c r="J22" s="5"/>
      <c r="L22" s="5"/>
      <c r="M22" s="5"/>
    </row>
    <row r="23" customFormat="false" ht="15" hidden="false" customHeight="false" outlineLevel="0" collapsed="false">
      <c r="B23" s="5"/>
      <c r="C23" s="5"/>
      <c r="D23" s="5"/>
      <c r="E23" s="5"/>
      <c r="F23" s="5"/>
      <c r="G23" s="5"/>
      <c r="H23" s="5"/>
      <c r="I23" s="5"/>
      <c r="J23" s="5"/>
      <c r="L23" s="5"/>
      <c r="M23" s="5"/>
    </row>
    <row r="24" customFormat="false" ht="15" hidden="false" customHeight="false" outlineLevel="0" collapsed="false">
      <c r="B24" s="5"/>
      <c r="C24" s="5"/>
      <c r="D24" s="5"/>
      <c r="E24" s="5"/>
      <c r="F24" s="5"/>
      <c r="G24" s="5"/>
      <c r="H24" s="5"/>
      <c r="I24" s="5"/>
      <c r="J24" s="5"/>
      <c r="L24" s="5"/>
      <c r="M24" s="5"/>
    </row>
    <row r="25" customFormat="false" ht="15" hidden="false" customHeight="false" outlineLevel="0" collapsed="false">
      <c r="B25" s="5"/>
      <c r="C25" s="5"/>
      <c r="D25" s="5"/>
      <c r="E25" s="5"/>
      <c r="F25" s="5"/>
      <c r="G25" s="5"/>
      <c r="H25" s="5"/>
      <c r="I25" s="5"/>
      <c r="J25" s="5"/>
      <c r="L25" s="5"/>
      <c r="M25" s="5"/>
    </row>
    <row r="26" customFormat="false" ht="15" hidden="false" customHeight="false" outlineLevel="0" collapsed="false">
      <c r="B26" s="5"/>
      <c r="C26" s="5"/>
      <c r="D26" s="5"/>
      <c r="E26" s="5"/>
      <c r="F26" s="5"/>
      <c r="G26" s="5"/>
      <c r="H26" s="5"/>
      <c r="I26" s="5"/>
      <c r="J26" s="5"/>
      <c r="L26" s="5"/>
      <c r="M26" s="5"/>
    </row>
    <row r="27" customFormat="false" ht="1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L27" s="5"/>
      <c r="M27" s="5"/>
    </row>
    <row r="28" customFormat="false" ht="15" hidden="false" customHeight="false" outlineLevel="0" collapsed="false">
      <c r="B28" s="5"/>
      <c r="C28" s="5"/>
      <c r="D28" s="5"/>
      <c r="E28" s="5"/>
      <c r="F28" s="5"/>
      <c r="G28" s="5"/>
      <c r="H28" s="5"/>
      <c r="I28" s="5"/>
      <c r="J28" s="5"/>
      <c r="L28" s="5"/>
      <c r="M28" s="5"/>
    </row>
    <row r="29" customFormat="false" ht="15" hidden="false" customHeight="false" outlineLevel="0" collapsed="false">
      <c r="B29" s="5"/>
      <c r="C29" s="5"/>
      <c r="D29" s="5"/>
      <c r="E29" s="5"/>
      <c r="F29" s="5"/>
      <c r="G29" s="5"/>
      <c r="H29" s="5"/>
      <c r="I29" s="5"/>
      <c r="J29" s="5"/>
      <c r="L29" s="5"/>
      <c r="M29" s="5"/>
    </row>
    <row r="30" customFormat="false" ht="15" hidden="false" customHeight="false" outlineLevel="0" collapsed="false">
      <c r="B30" s="5"/>
      <c r="C30" s="5"/>
      <c r="D30" s="5"/>
      <c r="E30" s="5"/>
      <c r="F30" s="5"/>
      <c r="G30" s="5"/>
      <c r="H30" s="5"/>
      <c r="I30" s="5"/>
      <c r="J30" s="5"/>
      <c r="L30" s="5"/>
      <c r="M30" s="5"/>
    </row>
    <row r="31" customFormat="false" ht="15" hidden="false" customHeight="false" outlineLevel="0" collapsed="false">
      <c r="B31" s="5"/>
      <c r="C31" s="5"/>
      <c r="D31" s="5"/>
      <c r="E31" s="5"/>
      <c r="F31" s="5"/>
      <c r="G31" s="5"/>
      <c r="H31" s="5"/>
      <c r="I31" s="5"/>
      <c r="J31" s="5"/>
      <c r="L31" s="5"/>
      <c r="M31" s="5"/>
    </row>
    <row r="32" customFormat="false" ht="15" hidden="false" customHeight="false" outlineLevel="0" collapsed="false">
      <c r="B32" s="5"/>
      <c r="C32" s="5"/>
      <c r="D32" s="5"/>
      <c r="E32" s="5"/>
      <c r="F32" s="5"/>
      <c r="G32" s="5"/>
      <c r="H32" s="5"/>
      <c r="I32" s="5"/>
      <c r="J32" s="5"/>
      <c r="L32" s="5"/>
      <c r="M32" s="5"/>
    </row>
    <row r="33" customFormat="false" ht="15" hidden="false" customHeight="false" outlineLevel="0" collapsed="false">
      <c r="B33" s="5"/>
      <c r="C33" s="5"/>
      <c r="D33" s="5"/>
      <c r="E33" s="5"/>
      <c r="F33" s="5"/>
      <c r="G33" s="5"/>
      <c r="H33" s="5"/>
      <c r="I33" s="5"/>
      <c r="J33" s="5"/>
      <c r="L33" s="5"/>
      <c r="M33" s="5"/>
    </row>
    <row r="34" customFormat="false" ht="1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L34" s="5"/>
      <c r="M34" s="5"/>
    </row>
    <row r="35" customFormat="false" ht="15" hidden="false" customHeight="false" outlineLevel="0" collapsed="false">
      <c r="B35" s="5"/>
      <c r="C35" s="5"/>
      <c r="D35" s="5"/>
      <c r="E35" s="5"/>
      <c r="F35" s="5"/>
      <c r="G35" s="5"/>
      <c r="H35" s="5"/>
      <c r="I35" s="5"/>
      <c r="J35" s="5"/>
      <c r="L35" s="5"/>
      <c r="M35" s="5"/>
    </row>
    <row r="36" customFormat="false" ht="15" hidden="false" customHeight="false" outlineLevel="0" collapsed="false">
      <c r="B36" s="5"/>
      <c r="C36" s="5"/>
      <c r="D36" s="5"/>
      <c r="E36" s="5"/>
      <c r="F36" s="5"/>
      <c r="G36" s="5"/>
      <c r="H36" s="5"/>
      <c r="I36" s="5"/>
      <c r="J36" s="5"/>
      <c r="L36" s="5"/>
      <c r="M36" s="5"/>
    </row>
    <row r="37" customFormat="false" ht="15" hidden="false" customHeight="false" outlineLevel="0" collapsed="false">
      <c r="B37" s="5"/>
      <c r="C37" s="5"/>
      <c r="D37" s="5"/>
      <c r="E37" s="5"/>
      <c r="F37" s="5"/>
      <c r="G37" s="5"/>
      <c r="H37" s="5"/>
      <c r="I37" s="5"/>
      <c r="J37" s="5"/>
      <c r="L37" s="5"/>
      <c r="M37" s="5"/>
    </row>
    <row r="38" customFormat="false" ht="15" hidden="false" customHeight="false" outlineLevel="0" collapsed="false">
      <c r="B38" s="5"/>
      <c r="C38" s="5"/>
      <c r="D38" s="5"/>
      <c r="E38" s="5"/>
      <c r="F38" s="5"/>
      <c r="G38" s="5"/>
      <c r="H38" s="5"/>
      <c r="I38" s="5"/>
      <c r="J38" s="5"/>
      <c r="L38" s="5"/>
      <c r="M38" s="5"/>
    </row>
    <row r="39" customFormat="false" ht="15" hidden="false" customHeight="false" outlineLevel="0" collapsed="false">
      <c r="B39" s="5"/>
      <c r="C39" s="5"/>
      <c r="D39" s="5"/>
      <c r="E39" s="5"/>
      <c r="F39" s="5"/>
      <c r="G39" s="5"/>
      <c r="H39" s="5"/>
      <c r="I39" s="5"/>
      <c r="J39" s="5"/>
      <c r="L39" s="5"/>
      <c r="M39" s="5"/>
    </row>
    <row r="40" customFormat="false" ht="15" hidden="false" customHeight="false" outlineLevel="0" collapsed="false">
      <c r="B40" s="5"/>
      <c r="C40" s="5"/>
      <c r="D40" s="5"/>
      <c r="E40" s="5"/>
      <c r="F40" s="5"/>
      <c r="G40" s="5"/>
      <c r="H40" s="5"/>
      <c r="I40" s="5"/>
      <c r="J40" s="5"/>
      <c r="L40" s="5"/>
      <c r="M40" s="5"/>
    </row>
    <row r="41" customFormat="false" ht="15" hidden="false" customHeight="false" outlineLevel="0" collapsed="false">
      <c r="B41" s="5"/>
      <c r="C41" s="5"/>
      <c r="D41" s="5"/>
      <c r="E41" s="5"/>
      <c r="F41" s="5"/>
      <c r="G41" s="5"/>
      <c r="H41" s="5"/>
      <c r="I41" s="5"/>
      <c r="J41" s="5"/>
      <c r="L41" s="5"/>
      <c r="M41" s="5"/>
    </row>
    <row r="42" customFormat="false" ht="15" hidden="false" customHeight="false" outlineLevel="0" collapsed="false">
      <c r="B42" s="5"/>
      <c r="C42" s="5"/>
      <c r="D42" s="5"/>
      <c r="E42" s="5"/>
      <c r="F42" s="5"/>
      <c r="G42" s="5"/>
      <c r="H42" s="5"/>
      <c r="I42" s="5"/>
      <c r="J42" s="5"/>
      <c r="L42" s="5"/>
      <c r="M42" s="5"/>
    </row>
    <row r="43" customFormat="false" ht="15" hidden="false" customHeight="false" outlineLevel="0" collapsed="false">
      <c r="B43" s="5"/>
      <c r="C43" s="5"/>
      <c r="D43" s="5"/>
      <c r="E43" s="5"/>
      <c r="F43" s="5"/>
      <c r="G43" s="5"/>
      <c r="H43" s="5"/>
      <c r="I43" s="5"/>
      <c r="J43" s="5"/>
      <c r="L43" s="5"/>
      <c r="M43" s="5"/>
    </row>
    <row r="44" customFormat="false" ht="15" hidden="false" customHeight="false" outlineLevel="0" collapsed="false">
      <c r="B44" s="5"/>
      <c r="C44" s="5"/>
      <c r="D44" s="5"/>
      <c r="E44" s="5"/>
      <c r="F44" s="5"/>
      <c r="G44" s="5"/>
      <c r="H44" s="5"/>
      <c r="I44" s="5"/>
      <c r="J44" s="5"/>
      <c r="L44" s="5"/>
      <c r="M44" s="5"/>
    </row>
    <row r="45" customFormat="false" ht="15" hidden="false" customHeight="false" outlineLevel="0" collapsed="false">
      <c r="B45" s="5"/>
      <c r="C45" s="5"/>
      <c r="D45" s="5"/>
      <c r="E45" s="5"/>
      <c r="F45" s="5"/>
      <c r="G45" s="5"/>
      <c r="H45" s="5"/>
      <c r="I45" s="5"/>
      <c r="J45" s="5"/>
      <c r="L45" s="5"/>
      <c r="M45" s="5"/>
    </row>
    <row r="46" customFormat="false" ht="15" hidden="false" customHeight="false" outlineLevel="0" collapsed="false">
      <c r="B46" s="5"/>
      <c r="C46" s="5"/>
      <c r="D46" s="5"/>
      <c r="E46" s="5"/>
      <c r="F46" s="5"/>
      <c r="G46" s="5"/>
      <c r="H46" s="5"/>
      <c r="I46" s="5"/>
      <c r="J46" s="5"/>
      <c r="L46" s="5"/>
      <c r="M46" s="5"/>
    </row>
    <row r="47" customFormat="false" ht="15" hidden="false" customHeight="false" outlineLevel="0" collapsed="false">
      <c r="B47" s="5"/>
      <c r="C47" s="5"/>
      <c r="D47" s="5"/>
      <c r="E47" s="5"/>
      <c r="F47" s="5"/>
      <c r="G47" s="5"/>
      <c r="H47" s="5"/>
      <c r="I47" s="5"/>
      <c r="J47" s="5"/>
      <c r="L47" s="5"/>
      <c r="M47" s="5"/>
    </row>
    <row r="48" customFormat="false" ht="1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L48" s="5"/>
      <c r="M48" s="5"/>
    </row>
    <row r="49" customFormat="false" ht="1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L49" s="5"/>
      <c r="M49" s="5"/>
    </row>
    <row r="50" customFormat="false" ht="1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L50" s="5"/>
      <c r="M50" s="5"/>
    </row>
    <row r="51" customFormat="false" ht="1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L51" s="5"/>
      <c r="M51" s="5"/>
    </row>
    <row r="52" customFormat="false" ht="1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L52" s="5"/>
      <c r="M52" s="5"/>
    </row>
    <row r="53" customFormat="false" ht="1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L53" s="5"/>
      <c r="M53" s="5"/>
    </row>
    <row r="54" customFormat="false" ht="15" hidden="false" customHeight="false" outlineLevel="0" collapsed="false">
      <c r="B54" s="5"/>
      <c r="C54" s="5"/>
      <c r="D54" s="5"/>
      <c r="E54" s="5"/>
      <c r="F54" s="5"/>
      <c r="G54" s="5"/>
      <c r="H54" s="5"/>
      <c r="I54" s="5"/>
      <c r="J54" s="5"/>
      <c r="L54" s="5"/>
      <c r="M54" s="5"/>
    </row>
    <row r="55" customFormat="false" ht="1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L55" s="5"/>
      <c r="M55" s="5"/>
    </row>
    <row r="56" customFormat="false" ht="1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L56" s="5"/>
      <c r="M56" s="5"/>
    </row>
    <row r="57" customFormat="false" ht="15" hidden="false" customHeight="false" outlineLevel="0" collapsed="false">
      <c r="B57" s="5"/>
      <c r="C57" s="5"/>
      <c r="D57" s="5"/>
      <c r="E57" s="5"/>
      <c r="F57" s="5"/>
      <c r="G57" s="5"/>
      <c r="H57" s="5"/>
      <c r="I57" s="5"/>
      <c r="J57" s="5"/>
      <c r="L57" s="5"/>
      <c r="M57" s="5"/>
    </row>
    <row r="58" customFormat="false" ht="1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L58" s="5"/>
      <c r="M58" s="5"/>
    </row>
    <row r="59" customFormat="false" ht="1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L59" s="5"/>
      <c r="M59" s="5"/>
    </row>
    <row r="60" customFormat="false" ht="15" hidden="false" customHeight="false" outlineLevel="0" collapsed="false">
      <c r="B60" s="5"/>
      <c r="C60" s="5"/>
      <c r="D60" s="5"/>
      <c r="E60" s="5"/>
      <c r="F60" s="5"/>
      <c r="G60" s="5"/>
      <c r="H60" s="5"/>
      <c r="I60" s="5"/>
      <c r="J60" s="5"/>
      <c r="L60" s="5"/>
      <c r="M60" s="5"/>
    </row>
    <row r="61" customFormat="false" ht="15" hidden="false" customHeight="false" outlineLevel="0" collapsed="false">
      <c r="B61" s="5"/>
      <c r="C61" s="5"/>
      <c r="D61" s="5"/>
      <c r="E61" s="5"/>
      <c r="F61" s="5"/>
      <c r="G61" s="5"/>
      <c r="H61" s="5"/>
      <c r="I61" s="5"/>
      <c r="J61" s="5"/>
      <c r="L61" s="5"/>
      <c r="M61" s="5"/>
    </row>
    <row r="62" customFormat="false" ht="15" hidden="false" customHeight="false" outlineLevel="0" collapsed="false">
      <c r="B62" s="5"/>
      <c r="C62" s="5"/>
      <c r="D62" s="5"/>
      <c r="E62" s="5"/>
      <c r="F62" s="5"/>
      <c r="G62" s="5"/>
      <c r="H62" s="5"/>
      <c r="I62" s="5"/>
      <c r="J62" s="5"/>
      <c r="L62" s="5"/>
      <c r="M62" s="5"/>
    </row>
    <row r="63" customFormat="false" ht="15" hidden="false" customHeight="false" outlineLevel="0" collapsed="false">
      <c r="B63" s="5"/>
      <c r="C63" s="5"/>
      <c r="D63" s="5"/>
      <c r="E63" s="5"/>
      <c r="F63" s="5"/>
      <c r="G63" s="5"/>
      <c r="H63" s="5"/>
      <c r="I63" s="5"/>
      <c r="J63" s="5"/>
      <c r="L63" s="5"/>
      <c r="M63" s="5"/>
    </row>
    <row r="64" customFormat="false" ht="15" hidden="false" customHeight="false" outlineLevel="0" collapsed="false">
      <c r="B64" s="5"/>
      <c r="C64" s="5"/>
      <c r="D64" s="5"/>
      <c r="E64" s="5"/>
      <c r="F64" s="5"/>
      <c r="G64" s="5"/>
      <c r="H64" s="5"/>
      <c r="I64" s="5"/>
      <c r="J64" s="5"/>
      <c r="L64" s="5"/>
      <c r="M64" s="5"/>
    </row>
    <row r="65" customFormat="false" ht="15" hidden="false" customHeight="false" outlineLevel="0" collapsed="false">
      <c r="B65" s="5"/>
      <c r="C65" s="5"/>
      <c r="D65" s="5"/>
      <c r="E65" s="5"/>
      <c r="F65" s="5"/>
      <c r="G65" s="5"/>
      <c r="H65" s="5"/>
      <c r="I65" s="5"/>
      <c r="J65" s="5"/>
      <c r="L65" s="5"/>
      <c r="M65" s="5"/>
    </row>
    <row r="66" customFormat="false" ht="15" hidden="false" customHeight="false" outlineLevel="0" collapsed="false">
      <c r="B66" s="5"/>
      <c r="C66" s="5"/>
      <c r="D66" s="5"/>
      <c r="E66" s="5"/>
      <c r="F66" s="5"/>
      <c r="G66" s="5"/>
      <c r="H66" s="5"/>
      <c r="I66" s="5"/>
      <c r="J66" s="5"/>
      <c r="L66" s="5"/>
      <c r="M66" s="5"/>
    </row>
    <row r="67" customFormat="false" ht="1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L67" s="5"/>
      <c r="M67" s="5"/>
    </row>
    <row r="68" customFormat="false" ht="15" hidden="false" customHeight="false" outlineLevel="0" collapsed="false">
      <c r="B68" s="5"/>
      <c r="C68" s="5"/>
      <c r="D68" s="5"/>
      <c r="E68" s="5"/>
      <c r="F68" s="5"/>
      <c r="G68" s="5"/>
      <c r="H68" s="5"/>
      <c r="I68" s="5"/>
      <c r="J68" s="5"/>
      <c r="L68" s="5"/>
      <c r="M68" s="5"/>
    </row>
    <row r="69" customFormat="false" ht="15" hidden="false" customHeight="false" outlineLevel="0" collapsed="false">
      <c r="B69" s="5"/>
      <c r="C69" s="5"/>
      <c r="D69" s="5"/>
      <c r="E69" s="5"/>
      <c r="F69" s="5"/>
      <c r="G69" s="5"/>
      <c r="H69" s="5"/>
      <c r="I69" s="5"/>
      <c r="J69" s="5"/>
      <c r="L69" s="5"/>
      <c r="M69" s="5"/>
    </row>
    <row r="70" customFormat="false" ht="15" hidden="false" customHeight="false" outlineLevel="0" collapsed="false">
      <c r="B70" s="5"/>
      <c r="C70" s="5"/>
      <c r="D70" s="5"/>
      <c r="E70" s="5"/>
      <c r="F70" s="5"/>
      <c r="G70" s="5"/>
      <c r="H70" s="5"/>
      <c r="I70" s="5"/>
      <c r="J70" s="5"/>
      <c r="L70" s="5"/>
      <c r="M70" s="5"/>
    </row>
    <row r="71" customFormat="false" ht="15" hidden="false" customHeight="false" outlineLevel="0" collapsed="false">
      <c r="B71" s="5"/>
      <c r="C71" s="5"/>
      <c r="D71" s="5"/>
      <c r="E71" s="5"/>
      <c r="F71" s="5"/>
      <c r="G71" s="5"/>
      <c r="H71" s="5"/>
      <c r="I71" s="5"/>
      <c r="J71" s="5"/>
      <c r="L71" s="5"/>
      <c r="M71" s="5"/>
    </row>
    <row r="72" customFormat="false" ht="15" hidden="false" customHeight="false" outlineLevel="0" collapsed="false">
      <c r="B72" s="5"/>
      <c r="C72" s="5"/>
      <c r="D72" s="5"/>
      <c r="E72" s="5"/>
      <c r="F72" s="5"/>
      <c r="G72" s="5"/>
      <c r="H72" s="5"/>
      <c r="I72" s="5"/>
      <c r="J72" s="5"/>
      <c r="L72" s="5"/>
      <c r="M72" s="5"/>
    </row>
    <row r="73" customFormat="false" ht="15" hidden="false" customHeight="false" outlineLevel="0" collapsed="false">
      <c r="B73" s="5"/>
      <c r="C73" s="5"/>
      <c r="D73" s="5"/>
      <c r="E73" s="5"/>
      <c r="F73" s="5"/>
      <c r="G73" s="5"/>
      <c r="H73" s="5"/>
      <c r="I73" s="5"/>
      <c r="J73" s="5"/>
      <c r="L73" s="5"/>
      <c r="M73" s="5"/>
    </row>
    <row r="74" customFormat="false" ht="15" hidden="false" customHeight="false" outlineLevel="0" collapsed="false">
      <c r="B74" s="5"/>
      <c r="C74" s="5"/>
      <c r="D74" s="5"/>
      <c r="E74" s="5"/>
      <c r="F74" s="5"/>
      <c r="G74" s="5"/>
      <c r="H74" s="5"/>
      <c r="I74" s="5"/>
      <c r="J74" s="5"/>
      <c r="L74" s="5"/>
      <c r="M74" s="5"/>
    </row>
    <row r="75" customFormat="false" ht="15" hidden="false" customHeight="false" outlineLevel="0" collapsed="false">
      <c r="B75" s="5"/>
      <c r="C75" s="5"/>
      <c r="D75" s="5"/>
      <c r="E75" s="5"/>
      <c r="F75" s="5"/>
      <c r="G75" s="5"/>
      <c r="H75" s="5"/>
      <c r="I75" s="5"/>
      <c r="J75" s="5"/>
      <c r="L75" s="5"/>
      <c r="M75" s="5"/>
    </row>
    <row r="76" customFormat="false" ht="15" hidden="false" customHeight="false" outlineLevel="0" collapsed="false">
      <c r="B76" s="5"/>
      <c r="C76" s="5"/>
      <c r="D76" s="5"/>
      <c r="E76" s="5"/>
      <c r="F76" s="5"/>
      <c r="G76" s="5"/>
      <c r="H76" s="5"/>
      <c r="I76" s="5"/>
      <c r="J76" s="5"/>
      <c r="L76" s="5"/>
      <c r="M76" s="5"/>
    </row>
    <row r="77" customFormat="false" ht="15" hidden="false" customHeight="false" outlineLevel="0" collapsed="false">
      <c r="B77" s="5"/>
      <c r="C77" s="5"/>
      <c r="D77" s="5"/>
      <c r="E77" s="5"/>
      <c r="F77" s="5"/>
      <c r="G77" s="5"/>
      <c r="H77" s="5"/>
      <c r="I77" s="5"/>
      <c r="J77" s="5"/>
      <c r="L77" s="5"/>
      <c r="M77" s="5"/>
    </row>
    <row r="78" customFormat="false" ht="15" hidden="false" customHeight="false" outlineLevel="0" collapsed="false">
      <c r="B78" s="5"/>
      <c r="C78" s="5"/>
      <c r="D78" s="5"/>
      <c r="E78" s="5"/>
      <c r="F78" s="5"/>
      <c r="G78" s="5"/>
      <c r="H78" s="5"/>
      <c r="I78" s="5"/>
      <c r="J78" s="5"/>
      <c r="L78" s="5"/>
      <c r="M78" s="5"/>
    </row>
    <row r="79" customFormat="false" ht="15" hidden="false" customHeight="false" outlineLevel="0" collapsed="false">
      <c r="B79" s="5"/>
      <c r="C79" s="5"/>
      <c r="D79" s="5"/>
      <c r="E79" s="5"/>
      <c r="F79" s="5"/>
      <c r="G79" s="5"/>
      <c r="H79" s="5"/>
      <c r="I79" s="5"/>
      <c r="J79" s="5"/>
      <c r="L79" s="5"/>
      <c r="M79" s="5"/>
    </row>
    <row r="80" customFormat="false" ht="15" hidden="false" customHeight="false" outlineLevel="0" collapsed="false">
      <c r="B80" s="5"/>
      <c r="C80" s="5"/>
      <c r="D80" s="5"/>
      <c r="E80" s="5"/>
      <c r="F80" s="5"/>
      <c r="G80" s="5"/>
      <c r="H80" s="5"/>
      <c r="I80" s="5"/>
      <c r="J80" s="5"/>
      <c r="L80" s="5"/>
      <c r="M80" s="5"/>
    </row>
    <row r="81" customFormat="false" ht="15" hidden="false" customHeight="false" outlineLevel="0" collapsed="false">
      <c r="B81" s="5"/>
      <c r="C81" s="5"/>
      <c r="D81" s="5"/>
      <c r="E81" s="5"/>
      <c r="F81" s="5"/>
      <c r="G81" s="5"/>
      <c r="H81" s="5"/>
      <c r="I81" s="5"/>
      <c r="J81" s="5"/>
      <c r="L81" s="5"/>
      <c r="M81" s="5"/>
    </row>
    <row r="82" customFormat="false" ht="15" hidden="false" customHeight="false" outlineLevel="0" collapsed="false">
      <c r="B82" s="5"/>
      <c r="C82" s="5"/>
      <c r="D82" s="5"/>
      <c r="E82" s="5"/>
      <c r="F82" s="5"/>
      <c r="G82" s="5"/>
      <c r="H82" s="5"/>
      <c r="I82" s="5"/>
      <c r="J82" s="5"/>
      <c r="L82" s="5"/>
      <c r="M82" s="5"/>
    </row>
    <row r="83" customFormat="false" ht="15" hidden="false" customHeight="false" outlineLevel="0" collapsed="false">
      <c r="B83" s="5"/>
      <c r="C83" s="5"/>
      <c r="D83" s="5"/>
      <c r="E83" s="5"/>
      <c r="F83" s="5"/>
      <c r="G83" s="5"/>
      <c r="H83" s="5"/>
      <c r="I83" s="5"/>
      <c r="J83" s="5"/>
      <c r="L83" s="5"/>
      <c r="M83" s="5"/>
    </row>
    <row r="84" customFormat="false" ht="15" hidden="false" customHeight="false" outlineLevel="0" collapsed="false">
      <c r="B84" s="5"/>
      <c r="C84" s="5"/>
      <c r="D84" s="5"/>
      <c r="E84" s="5"/>
      <c r="F84" s="5"/>
      <c r="G84" s="5"/>
      <c r="H84" s="5"/>
      <c r="I84" s="5"/>
      <c r="J84" s="5"/>
      <c r="L84" s="5"/>
      <c r="M84" s="5"/>
    </row>
    <row r="85" customFormat="false" ht="15" hidden="false" customHeight="false" outlineLevel="0" collapsed="false">
      <c r="B85" s="5"/>
      <c r="C85" s="5"/>
      <c r="D85" s="5"/>
      <c r="E85" s="5"/>
      <c r="F85" s="5"/>
      <c r="G85" s="5"/>
      <c r="H85" s="5"/>
      <c r="I85" s="5"/>
      <c r="J85" s="5"/>
      <c r="L85" s="5"/>
      <c r="M85" s="5"/>
    </row>
    <row r="86" customFormat="false" ht="15" hidden="false" customHeight="false" outlineLevel="0" collapsed="false">
      <c r="B86" s="5"/>
      <c r="C86" s="5"/>
      <c r="D86" s="5"/>
      <c r="E86" s="5"/>
      <c r="F86" s="5"/>
      <c r="G86" s="5"/>
      <c r="H86" s="5"/>
      <c r="I86" s="5"/>
      <c r="J86" s="5"/>
      <c r="L86" s="5"/>
      <c r="M86" s="5"/>
    </row>
    <row r="87" customFormat="false" ht="15" hidden="false" customHeight="false" outlineLevel="0" collapsed="false">
      <c r="B87" s="5"/>
      <c r="C87" s="5"/>
      <c r="D87" s="5"/>
      <c r="E87" s="5"/>
      <c r="F87" s="5"/>
      <c r="G87" s="5"/>
      <c r="H87" s="5"/>
      <c r="I87" s="5"/>
      <c r="J87" s="5"/>
      <c r="L87" s="5"/>
      <c r="M87" s="5"/>
    </row>
    <row r="88" customFormat="false" ht="15" hidden="false" customHeight="false" outlineLevel="0" collapsed="false">
      <c r="B88" s="5"/>
      <c r="C88" s="5"/>
      <c r="D88" s="5"/>
      <c r="E88" s="5"/>
      <c r="F88" s="5"/>
      <c r="G88" s="5"/>
      <c r="H88" s="5"/>
      <c r="I88" s="5"/>
      <c r="J88" s="5"/>
      <c r="L88" s="5"/>
      <c r="M88" s="5"/>
    </row>
    <row r="89" customFormat="false" ht="15" hidden="false" customHeight="false" outlineLevel="0" collapsed="false">
      <c r="B89" s="5"/>
      <c r="C89" s="5"/>
      <c r="D89" s="5"/>
      <c r="E89" s="5"/>
      <c r="F89" s="5"/>
      <c r="G89" s="5"/>
      <c r="H89" s="5"/>
      <c r="I89" s="5"/>
      <c r="J89" s="5"/>
      <c r="L89" s="5"/>
      <c r="M89" s="5"/>
    </row>
    <row r="90" customFormat="false" ht="15" hidden="false" customHeight="false" outlineLevel="0" collapsed="false">
      <c r="B90" s="5"/>
      <c r="C90" s="5"/>
      <c r="D90" s="5"/>
      <c r="E90" s="5"/>
      <c r="F90" s="5"/>
      <c r="G90" s="5"/>
      <c r="H90" s="5"/>
      <c r="I90" s="5"/>
      <c r="J90" s="5"/>
      <c r="L90" s="5"/>
      <c r="M90" s="5"/>
    </row>
    <row r="91" customFormat="false" ht="15" hidden="false" customHeight="false" outlineLevel="0" collapsed="false">
      <c r="B91" s="5"/>
      <c r="C91" s="5"/>
      <c r="D91" s="5"/>
      <c r="E91" s="5"/>
      <c r="F91" s="5"/>
      <c r="G91" s="5"/>
      <c r="H91" s="5"/>
      <c r="I91" s="5"/>
      <c r="J91" s="5"/>
      <c r="L91" s="5"/>
      <c r="M91" s="5"/>
    </row>
    <row r="92" customFormat="false" ht="15" hidden="false" customHeight="false" outlineLevel="0" collapsed="false">
      <c r="B92" s="5"/>
      <c r="C92" s="5"/>
      <c r="D92" s="5"/>
      <c r="E92" s="5"/>
      <c r="F92" s="5"/>
      <c r="G92" s="5"/>
      <c r="H92" s="5"/>
      <c r="I92" s="5"/>
      <c r="J92" s="5"/>
      <c r="L92" s="5"/>
      <c r="M92" s="5"/>
    </row>
    <row r="93" customFormat="false" ht="15" hidden="false" customHeight="false" outlineLevel="0" collapsed="false">
      <c r="B93" s="5"/>
      <c r="C93" s="5"/>
      <c r="D93" s="5"/>
      <c r="E93" s="5"/>
      <c r="F93" s="5"/>
      <c r="G93" s="5"/>
      <c r="H93" s="5"/>
      <c r="I93" s="5"/>
      <c r="J93" s="5"/>
      <c r="L93" s="5"/>
      <c r="M93" s="5"/>
    </row>
    <row r="94" customFormat="false" ht="15" hidden="false" customHeight="false" outlineLevel="0" collapsed="false">
      <c r="B94" s="5"/>
      <c r="C94" s="5"/>
      <c r="D94" s="5"/>
      <c r="E94" s="5"/>
      <c r="F94" s="5"/>
      <c r="G94" s="5"/>
      <c r="H94" s="5"/>
      <c r="I94" s="5"/>
      <c r="J94" s="5"/>
      <c r="L94" s="5"/>
      <c r="M94" s="5"/>
    </row>
    <row r="95" customFormat="false" ht="15" hidden="false" customHeight="false" outlineLevel="0" collapsed="false">
      <c r="B95" s="5"/>
      <c r="C95" s="5"/>
      <c r="D95" s="5"/>
      <c r="E95" s="5"/>
      <c r="F95" s="5"/>
      <c r="G95" s="5"/>
      <c r="H95" s="5"/>
      <c r="I95" s="5"/>
      <c r="J95" s="5"/>
      <c r="L95" s="5"/>
      <c r="M95" s="5"/>
    </row>
    <row r="96" customFormat="false" ht="15" hidden="false" customHeight="false" outlineLevel="0" collapsed="false">
      <c r="B96" s="5"/>
      <c r="C96" s="5"/>
      <c r="D96" s="5"/>
      <c r="E96" s="5"/>
      <c r="F96" s="5"/>
      <c r="G96" s="5"/>
      <c r="H96" s="5"/>
      <c r="I96" s="5"/>
      <c r="J96" s="5"/>
      <c r="L96" s="5"/>
      <c r="M96" s="5"/>
    </row>
    <row r="97" customFormat="false" ht="15" hidden="false" customHeight="false" outlineLevel="0" collapsed="false">
      <c r="B97" s="5"/>
      <c r="C97" s="5"/>
      <c r="D97" s="5"/>
      <c r="E97" s="5"/>
      <c r="F97" s="5"/>
      <c r="G97" s="5"/>
      <c r="H97" s="5"/>
      <c r="I97" s="5"/>
      <c r="J97" s="5"/>
      <c r="L97" s="5"/>
      <c r="M97" s="5"/>
    </row>
    <row r="98" customFormat="false" ht="15" hidden="false" customHeight="false" outlineLevel="0" collapsed="false">
      <c r="B98" s="5"/>
      <c r="C98" s="5"/>
      <c r="D98" s="5"/>
      <c r="E98" s="5"/>
      <c r="F98" s="5"/>
      <c r="G98" s="5"/>
      <c r="H98" s="5"/>
      <c r="I98" s="5"/>
      <c r="J98" s="5"/>
      <c r="L98" s="5"/>
      <c r="M98" s="5"/>
    </row>
    <row r="99" customFormat="false" ht="15" hidden="false" customHeight="false" outlineLevel="0" collapsed="false">
      <c r="B99" s="5"/>
      <c r="C99" s="5"/>
      <c r="D99" s="5"/>
      <c r="E99" s="5"/>
      <c r="F99" s="5"/>
      <c r="G99" s="5"/>
      <c r="H99" s="5"/>
      <c r="I99" s="5"/>
      <c r="J99" s="5"/>
      <c r="L99" s="5"/>
      <c r="M99" s="5"/>
    </row>
    <row r="100" customFormat="false" ht="15" hidden="false" customHeight="false" outlineLevel="0" collapsed="false">
      <c r="B100" s="5"/>
      <c r="C100" s="5"/>
      <c r="D100" s="5"/>
      <c r="E100" s="5"/>
      <c r="F100" s="5"/>
      <c r="G100" s="5"/>
      <c r="H100" s="5"/>
      <c r="I100" s="5"/>
      <c r="J100" s="5"/>
      <c r="L100" s="5"/>
      <c r="M100" s="5"/>
    </row>
  </sheetData>
  <sheetProtection sheet="true" formatCells="false" formatColumns="false" formatRows="false"/>
  <mergeCells count="1">
    <mergeCell ref="A8:M8"/>
  </mergeCells>
  <dataValidations count="6">
    <dataValidation allowBlank="true" error="Ese ciclo no existe. Créalo primero en la pestaña Ciclos." errorStyle="stop" errorTitle="❌ Valor no permitido" operator="between" prompt="Elige de la lista" promptTitle="Ciclo" showDropDown="false" showErrorMessage="true" showInputMessage="false" sqref="B2:B100" type="list">
      <formula1>Tbl_Ciclos[id ciclo]</formula1>
      <formula2>0</formula2>
    </dataValidation>
    <dataValidation allowBlank="true" error="Ese producto no existe en el Catálogo." errorStyle="stop" errorTitle="❌ Valor no permitido" operator="between" prompt="Elige de la lista" promptTitle="Producto" showDropDown="false" showErrorMessage="true" showInputMessage="false" sqref="D2:D100" type="list">
      <formula1>Tbl_Catalogo[producto]</formula1>
      <formula2>0</formula2>
    </dataValidation>
    <dataValidation allowBlank="true" error="Valor no válido. Usa la lista." errorStyle="stop" errorTitle="❌ Valor no permitido" operator="between" prompt="Elige de la lista" promptTitle="Selecciona una opción" showDropDown="false" showErrorMessage="true" showInputMessage="false" sqref="E2:E100" type="list">
      <formula1>"Casa,Edificio,Negocio"</formula1>
      <formula2>0</formula2>
    </dataValidation>
    <dataValidation allowBlank="true" error="Valor no válido. Usa la lista." errorStyle="stop" errorTitle="❌ Valor no permitido" operator="between" prompt="Elige de la lista" promptTitle="Selecciona una opción" showDropDown="false" showErrorMessage="true" showInputMessage="false" sqref="J2:J100" type="list">
      <formula1>"Efectivo,SINPE"</formula1>
      <formula2>0</formula2>
    </dataValidation>
    <dataValidation allowBlank="true" error="Valor no válido. Usa la lista." errorStyle="stop" errorTitle="❌ Valor no permitido" operator="between" prompt="Elige de la lista" promptTitle="Selecciona una opción" showDropDown="false" showErrorMessage="true" showInputMessage="false" sqref="L2:L100" type="list">
      <formula1>"Pendiente,En Ruta,Entregado"</formula1>
      <formula2>0</formula2>
    </dataValidation>
    <dataValidation allowBlank="true" error="Valor no válido. Usa la lista." errorStyle="stop" errorTitle="❌ Valor no permitido" operator="between" prompt="Elige de la lista" promptTitle="Selecciona una opción" showDropDown="false" showErrorMessage="true" showInputMessage="false" sqref="M2:M100" type="list">
      <formula1>"Pendiente,Pagado"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7"/>
  </cols>
  <sheetData>
    <row r="1" customFormat="false" ht="41.75" hidden="false" customHeight="false" outlineLevel="0" collapsed="false">
      <c r="A1" s="1" t="s">
        <v>54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41</v>
      </c>
    </row>
    <row r="2" customFormat="false" ht="15" hidden="false" customHeight="false" outlineLevel="0" collapsed="false">
      <c r="A2" s="2" t="s">
        <v>45</v>
      </c>
      <c r="B2" s="2" t="s">
        <v>10</v>
      </c>
      <c r="C2" s="3" t="n">
        <f aca="false">SUMIFS(Tbl_Pedidos[Cantidad],Tbl_Pedidos[Ciclo],A2,Tbl_Pedidos[Producto],B2)</f>
        <v>3</v>
      </c>
      <c r="D2" s="2" t="n">
        <v>0</v>
      </c>
      <c r="E2" s="3" t="n">
        <f aca="false">MAX(C2-D2,0)</f>
        <v>3</v>
      </c>
      <c r="F2" s="2" t="n">
        <v>10</v>
      </c>
      <c r="G2" s="3" t="n">
        <f aca="false">ROUND(E2*(1+F2/100),1)</f>
        <v>3.3</v>
      </c>
      <c r="H2" s="2"/>
      <c r="I2" s="2" t="s">
        <v>94</v>
      </c>
    </row>
    <row r="3" customFormat="false" ht="15" hidden="false" customHeight="false" outlineLevel="0" collapsed="false">
      <c r="A3" s="2" t="s">
        <v>45</v>
      </c>
      <c r="B3" s="2" t="s">
        <v>14</v>
      </c>
      <c r="C3" s="3" t="n">
        <f aca="false">SUMIFS(Tbl_Pedidos[Cantidad],Tbl_Pedidos[Ciclo],A3,Tbl_Pedidos[Producto],B3)</f>
        <v>5</v>
      </c>
      <c r="D3" s="2" t="n">
        <v>0</v>
      </c>
      <c r="E3" s="3" t="n">
        <f aca="false">MAX(C3-D3,0)</f>
        <v>5</v>
      </c>
      <c r="F3" s="2" t="n">
        <v>5</v>
      </c>
      <c r="G3" s="3" t="n">
        <f aca="false">ROUND(E3*(1+F3/100),1)</f>
        <v>5.3</v>
      </c>
      <c r="H3" s="2"/>
      <c r="I3" s="2" t="s">
        <v>94</v>
      </c>
    </row>
    <row r="4" customFormat="false" ht="15" hidden="false" customHeight="false" outlineLevel="0" collapsed="false">
      <c r="A4" s="2" t="s">
        <v>45</v>
      </c>
      <c r="B4" s="2" t="s">
        <v>18</v>
      </c>
      <c r="C4" s="3" t="n">
        <f aca="false">SUMIFS(Tbl_Pedidos[Cantidad],Tbl_Pedidos[Ciclo],A4,Tbl_Pedidos[Producto],B4)</f>
        <v>10</v>
      </c>
      <c r="D4" s="2" t="n">
        <v>0</v>
      </c>
      <c r="E4" s="3" t="n">
        <f aca="false">MAX(C4-D4,0)</f>
        <v>10</v>
      </c>
      <c r="F4" s="2" t="n">
        <v>10</v>
      </c>
      <c r="G4" s="3" t="n">
        <f aca="false">ROUND(E4*(1+F4/100),1)</f>
        <v>11</v>
      </c>
      <c r="H4" s="2"/>
      <c r="I4" s="2" t="s">
        <v>94</v>
      </c>
    </row>
    <row r="5" customFormat="false" ht="15" hidden="false" customHeight="false" outlineLevel="0" collapsed="false">
      <c r="A5" s="2" t="s">
        <v>45</v>
      </c>
      <c r="B5" s="2" t="s">
        <v>21</v>
      </c>
      <c r="C5" s="3" t="n">
        <f aca="false">SUMIFS(Tbl_Pedidos[Cantidad],Tbl_Pedidos[Ciclo],A5,Tbl_Pedidos[Producto],B5)</f>
        <v>2</v>
      </c>
      <c r="D5" s="2" t="n">
        <v>0</v>
      </c>
      <c r="E5" s="3" t="n">
        <f aca="false">MAX(C5-D5,0)</f>
        <v>2</v>
      </c>
      <c r="F5" s="2" t="n">
        <v>20</v>
      </c>
      <c r="G5" s="3" t="n">
        <f aca="false">ROUND(E5*(1+F5/100),1)</f>
        <v>2.4</v>
      </c>
      <c r="H5" s="2"/>
      <c r="I5" s="2" t="s">
        <v>94</v>
      </c>
    </row>
    <row r="6" customFormat="false" ht="15" hidden="false" customHeight="false" outlineLevel="0" collapsed="false">
      <c r="A6" s="2" t="s">
        <v>45</v>
      </c>
      <c r="B6" s="2" t="s">
        <v>31</v>
      </c>
      <c r="C6" s="3" t="n">
        <f aca="false">SUMIFS(Tbl_Pedidos[Cantidad],Tbl_Pedidos[Ciclo],A6,Tbl_Pedidos[Producto],B6)</f>
        <v>4</v>
      </c>
      <c r="D6" s="2" t="n">
        <v>0</v>
      </c>
      <c r="E6" s="3" t="n">
        <f aca="false">MAX(C6-D6,0)</f>
        <v>4</v>
      </c>
      <c r="F6" s="2" t="n">
        <v>10</v>
      </c>
      <c r="G6" s="3" t="n">
        <f aca="false">ROUND(E6*(1+F6/100),1)</f>
        <v>4.4</v>
      </c>
      <c r="H6" s="2"/>
      <c r="I6" s="2" t="s">
        <v>94</v>
      </c>
    </row>
    <row r="7" customFormat="false" ht="15" hidden="false" customHeight="false" outlineLevel="0" collapsed="false">
      <c r="A7" s="6" t="s">
        <v>95</v>
      </c>
      <c r="B7" s="6"/>
      <c r="C7" s="6"/>
      <c r="D7" s="6"/>
      <c r="E7" s="6"/>
      <c r="F7" s="6"/>
      <c r="G7" s="6"/>
      <c r="H7" s="6"/>
      <c r="I7" s="6"/>
    </row>
    <row r="8" customFormat="false" ht="15" hidden="false" customHeight="false" outlineLevel="0" collapsed="false">
      <c r="A8" s="5"/>
      <c r="B8" s="5"/>
      <c r="D8" s="5"/>
      <c r="F8" s="5"/>
      <c r="H8" s="5"/>
      <c r="I8" s="5"/>
    </row>
    <row r="9" customFormat="false" ht="15" hidden="false" customHeight="false" outlineLevel="0" collapsed="false">
      <c r="A9" s="5"/>
      <c r="B9" s="5"/>
      <c r="D9" s="5"/>
      <c r="F9" s="5"/>
      <c r="H9" s="5"/>
      <c r="I9" s="5"/>
    </row>
    <row r="10" customFormat="false" ht="15" hidden="false" customHeight="false" outlineLevel="0" collapsed="false">
      <c r="A10" s="5"/>
      <c r="B10" s="5"/>
      <c r="D10" s="5"/>
      <c r="F10" s="5"/>
      <c r="H10" s="5"/>
      <c r="I10" s="5"/>
    </row>
    <row r="11" customFormat="false" ht="15" hidden="false" customHeight="false" outlineLevel="0" collapsed="false">
      <c r="A11" s="5"/>
      <c r="B11" s="5"/>
      <c r="D11" s="5"/>
      <c r="F11" s="5"/>
      <c r="H11" s="5"/>
      <c r="I11" s="5"/>
    </row>
    <row r="12" customFormat="false" ht="15" hidden="false" customHeight="false" outlineLevel="0" collapsed="false">
      <c r="A12" s="5"/>
      <c r="B12" s="5"/>
      <c r="D12" s="5"/>
      <c r="F12" s="5"/>
      <c r="H12" s="5"/>
      <c r="I12" s="5"/>
    </row>
    <row r="13" customFormat="false" ht="15" hidden="false" customHeight="false" outlineLevel="0" collapsed="false">
      <c r="A13" s="5"/>
      <c r="B13" s="5"/>
      <c r="D13" s="5"/>
      <c r="F13" s="5"/>
      <c r="H13" s="5"/>
      <c r="I13" s="5"/>
    </row>
    <row r="14" customFormat="false" ht="15" hidden="false" customHeight="false" outlineLevel="0" collapsed="false">
      <c r="A14" s="5"/>
      <c r="B14" s="5"/>
      <c r="D14" s="5"/>
      <c r="F14" s="5"/>
      <c r="H14" s="5"/>
      <c r="I14" s="5"/>
    </row>
    <row r="15" customFormat="false" ht="15" hidden="false" customHeight="false" outlineLevel="0" collapsed="false">
      <c r="A15" s="5"/>
      <c r="B15" s="5"/>
      <c r="D15" s="5"/>
      <c r="F15" s="5"/>
      <c r="H15" s="5"/>
      <c r="I15" s="5"/>
    </row>
    <row r="16" customFormat="false" ht="15" hidden="false" customHeight="false" outlineLevel="0" collapsed="false">
      <c r="A16" s="5"/>
      <c r="B16" s="5"/>
      <c r="D16" s="5"/>
      <c r="F16" s="5"/>
      <c r="H16" s="5"/>
      <c r="I16" s="5"/>
    </row>
    <row r="17" customFormat="false" ht="15" hidden="false" customHeight="false" outlineLevel="0" collapsed="false">
      <c r="A17" s="5"/>
      <c r="B17" s="5"/>
      <c r="D17" s="5"/>
      <c r="F17" s="5"/>
      <c r="H17" s="5"/>
      <c r="I17" s="5"/>
    </row>
    <row r="18" customFormat="false" ht="15" hidden="false" customHeight="false" outlineLevel="0" collapsed="false">
      <c r="A18" s="5"/>
      <c r="B18" s="5"/>
      <c r="D18" s="5"/>
      <c r="F18" s="5"/>
      <c r="H18" s="5"/>
      <c r="I18" s="5"/>
    </row>
    <row r="19" customFormat="false" ht="15" hidden="false" customHeight="false" outlineLevel="0" collapsed="false">
      <c r="A19" s="5"/>
      <c r="B19" s="5"/>
      <c r="D19" s="5"/>
      <c r="F19" s="5"/>
      <c r="H19" s="5"/>
      <c r="I19" s="5"/>
    </row>
    <row r="20" customFormat="false" ht="15" hidden="false" customHeight="false" outlineLevel="0" collapsed="false">
      <c r="A20" s="5"/>
      <c r="B20" s="5"/>
      <c r="D20" s="5"/>
      <c r="F20" s="5"/>
      <c r="H20" s="5"/>
      <c r="I20" s="5"/>
    </row>
    <row r="21" customFormat="false" ht="15" hidden="false" customHeight="false" outlineLevel="0" collapsed="false">
      <c r="A21" s="5"/>
      <c r="B21" s="5"/>
      <c r="D21" s="5"/>
      <c r="F21" s="5"/>
      <c r="H21" s="5"/>
      <c r="I21" s="5"/>
    </row>
    <row r="22" customFormat="false" ht="15" hidden="false" customHeight="false" outlineLevel="0" collapsed="false">
      <c r="A22" s="5"/>
      <c r="B22" s="5"/>
      <c r="D22" s="5"/>
      <c r="F22" s="5"/>
      <c r="H22" s="5"/>
      <c r="I22" s="5"/>
    </row>
    <row r="23" customFormat="false" ht="15" hidden="false" customHeight="false" outlineLevel="0" collapsed="false">
      <c r="A23" s="5"/>
      <c r="B23" s="5"/>
      <c r="D23" s="5"/>
      <c r="F23" s="5"/>
      <c r="H23" s="5"/>
      <c r="I23" s="5"/>
    </row>
    <row r="24" customFormat="false" ht="15" hidden="false" customHeight="false" outlineLevel="0" collapsed="false">
      <c r="A24" s="5"/>
      <c r="B24" s="5"/>
      <c r="D24" s="5"/>
      <c r="F24" s="5"/>
      <c r="H24" s="5"/>
      <c r="I24" s="5"/>
    </row>
    <row r="25" customFormat="false" ht="15" hidden="false" customHeight="false" outlineLevel="0" collapsed="false">
      <c r="A25" s="5"/>
      <c r="B25" s="5"/>
      <c r="D25" s="5"/>
      <c r="F25" s="5"/>
      <c r="H25" s="5"/>
      <c r="I25" s="5"/>
    </row>
    <row r="26" customFormat="false" ht="15" hidden="false" customHeight="false" outlineLevel="0" collapsed="false">
      <c r="A26" s="5"/>
      <c r="B26" s="5"/>
      <c r="D26" s="5"/>
      <c r="F26" s="5"/>
      <c r="H26" s="5"/>
      <c r="I26" s="5"/>
    </row>
    <row r="27" customFormat="false" ht="15" hidden="false" customHeight="false" outlineLevel="0" collapsed="false">
      <c r="A27" s="5"/>
      <c r="B27" s="5"/>
      <c r="D27" s="5"/>
      <c r="F27" s="5"/>
      <c r="H27" s="5"/>
      <c r="I27" s="5"/>
    </row>
    <row r="28" customFormat="false" ht="15" hidden="false" customHeight="false" outlineLevel="0" collapsed="false">
      <c r="A28" s="5"/>
      <c r="B28" s="5"/>
      <c r="D28" s="5"/>
      <c r="F28" s="5"/>
      <c r="H28" s="5"/>
      <c r="I28" s="5"/>
    </row>
    <row r="29" customFormat="false" ht="15" hidden="false" customHeight="false" outlineLevel="0" collapsed="false">
      <c r="A29" s="5"/>
      <c r="B29" s="5"/>
      <c r="D29" s="5"/>
      <c r="F29" s="5"/>
      <c r="H29" s="5"/>
      <c r="I29" s="5"/>
    </row>
    <row r="30" customFormat="false" ht="15" hidden="false" customHeight="false" outlineLevel="0" collapsed="false">
      <c r="A30" s="5"/>
      <c r="B30" s="5"/>
      <c r="D30" s="5"/>
      <c r="F30" s="5"/>
      <c r="H30" s="5"/>
      <c r="I30" s="5"/>
    </row>
    <row r="31" customFormat="false" ht="15" hidden="false" customHeight="false" outlineLevel="0" collapsed="false">
      <c r="A31" s="5"/>
      <c r="B31" s="5"/>
      <c r="D31" s="5"/>
      <c r="F31" s="5"/>
      <c r="H31" s="5"/>
      <c r="I31" s="5"/>
    </row>
    <row r="32" customFormat="false" ht="15" hidden="false" customHeight="false" outlineLevel="0" collapsed="false">
      <c r="A32" s="5"/>
      <c r="B32" s="5"/>
      <c r="D32" s="5"/>
      <c r="F32" s="5"/>
      <c r="H32" s="5"/>
      <c r="I32" s="5"/>
    </row>
    <row r="33" customFormat="false" ht="15" hidden="false" customHeight="false" outlineLevel="0" collapsed="false">
      <c r="A33" s="5"/>
      <c r="B33" s="5"/>
      <c r="D33" s="5"/>
      <c r="F33" s="5"/>
      <c r="H33" s="5"/>
      <c r="I33" s="5"/>
    </row>
    <row r="34" customFormat="false" ht="15" hidden="false" customHeight="false" outlineLevel="0" collapsed="false">
      <c r="A34" s="5"/>
      <c r="B34" s="5"/>
      <c r="D34" s="5"/>
      <c r="F34" s="5"/>
      <c r="H34" s="5"/>
      <c r="I34" s="5"/>
    </row>
    <row r="35" customFormat="false" ht="15" hidden="false" customHeight="false" outlineLevel="0" collapsed="false">
      <c r="A35" s="5"/>
      <c r="B35" s="5"/>
      <c r="D35" s="5"/>
      <c r="F35" s="5"/>
      <c r="H35" s="5"/>
      <c r="I35" s="5"/>
    </row>
    <row r="36" customFormat="false" ht="15" hidden="false" customHeight="false" outlineLevel="0" collapsed="false">
      <c r="A36" s="5"/>
      <c r="B36" s="5"/>
      <c r="D36" s="5"/>
      <c r="F36" s="5"/>
      <c r="H36" s="5"/>
      <c r="I36" s="5"/>
    </row>
    <row r="37" customFormat="false" ht="15" hidden="false" customHeight="false" outlineLevel="0" collapsed="false">
      <c r="A37" s="5"/>
      <c r="B37" s="5"/>
      <c r="D37" s="5"/>
      <c r="F37" s="5"/>
      <c r="H37" s="5"/>
      <c r="I37" s="5"/>
    </row>
    <row r="38" customFormat="false" ht="15" hidden="false" customHeight="false" outlineLevel="0" collapsed="false">
      <c r="A38" s="5"/>
      <c r="B38" s="5"/>
      <c r="D38" s="5"/>
      <c r="F38" s="5"/>
      <c r="H38" s="5"/>
      <c r="I38" s="5"/>
    </row>
    <row r="39" customFormat="false" ht="15" hidden="false" customHeight="false" outlineLevel="0" collapsed="false">
      <c r="A39" s="5"/>
      <c r="B39" s="5"/>
      <c r="D39" s="5"/>
      <c r="F39" s="5"/>
      <c r="H39" s="5"/>
      <c r="I39" s="5"/>
    </row>
    <row r="40" customFormat="false" ht="15" hidden="false" customHeight="false" outlineLevel="0" collapsed="false">
      <c r="A40" s="5"/>
      <c r="B40" s="5"/>
      <c r="D40" s="5"/>
      <c r="F40" s="5"/>
      <c r="H40" s="5"/>
      <c r="I40" s="5"/>
    </row>
    <row r="41" customFormat="false" ht="15" hidden="false" customHeight="false" outlineLevel="0" collapsed="false">
      <c r="A41" s="5"/>
      <c r="B41" s="5"/>
      <c r="D41" s="5"/>
      <c r="F41" s="5"/>
      <c r="H41" s="5"/>
      <c r="I41" s="5"/>
    </row>
    <row r="42" customFormat="false" ht="15" hidden="false" customHeight="false" outlineLevel="0" collapsed="false">
      <c r="A42" s="5"/>
      <c r="B42" s="5"/>
      <c r="D42" s="5"/>
      <c r="F42" s="5"/>
      <c r="H42" s="5"/>
      <c r="I42" s="5"/>
    </row>
    <row r="43" customFormat="false" ht="15" hidden="false" customHeight="false" outlineLevel="0" collapsed="false">
      <c r="A43" s="5"/>
      <c r="B43" s="5"/>
      <c r="D43" s="5"/>
      <c r="F43" s="5"/>
      <c r="H43" s="5"/>
      <c r="I43" s="5"/>
    </row>
    <row r="44" customFormat="false" ht="15" hidden="false" customHeight="false" outlineLevel="0" collapsed="false">
      <c r="A44" s="5"/>
      <c r="B44" s="5"/>
      <c r="D44" s="5"/>
      <c r="F44" s="5"/>
      <c r="H44" s="5"/>
      <c r="I44" s="5"/>
    </row>
    <row r="45" customFormat="false" ht="15" hidden="false" customHeight="false" outlineLevel="0" collapsed="false">
      <c r="A45" s="5"/>
      <c r="B45" s="5"/>
      <c r="D45" s="5"/>
      <c r="F45" s="5"/>
      <c r="H45" s="5"/>
      <c r="I45" s="5"/>
    </row>
    <row r="46" customFormat="false" ht="15" hidden="false" customHeight="false" outlineLevel="0" collapsed="false">
      <c r="A46" s="5"/>
      <c r="B46" s="5"/>
      <c r="D46" s="5"/>
      <c r="F46" s="5"/>
      <c r="H46" s="5"/>
      <c r="I46" s="5"/>
    </row>
    <row r="47" customFormat="false" ht="15" hidden="false" customHeight="false" outlineLevel="0" collapsed="false">
      <c r="A47" s="5"/>
      <c r="B47" s="5"/>
      <c r="D47" s="5"/>
      <c r="F47" s="5"/>
      <c r="H47" s="5"/>
      <c r="I47" s="5"/>
    </row>
    <row r="48" customFormat="false" ht="15" hidden="false" customHeight="false" outlineLevel="0" collapsed="false">
      <c r="A48" s="5"/>
      <c r="B48" s="5"/>
      <c r="D48" s="5"/>
      <c r="F48" s="5"/>
      <c r="H48" s="5"/>
      <c r="I48" s="5"/>
    </row>
    <row r="49" customFormat="false" ht="15" hidden="false" customHeight="false" outlineLevel="0" collapsed="false">
      <c r="A49" s="5"/>
      <c r="B49" s="5"/>
      <c r="D49" s="5"/>
      <c r="F49" s="5"/>
      <c r="H49" s="5"/>
      <c r="I49" s="5"/>
    </row>
    <row r="50" customFormat="false" ht="15" hidden="false" customHeight="false" outlineLevel="0" collapsed="false">
      <c r="A50" s="5"/>
      <c r="B50" s="5"/>
      <c r="D50" s="5"/>
      <c r="F50" s="5"/>
      <c r="H50" s="5"/>
      <c r="I50" s="5"/>
    </row>
    <row r="51" customFormat="false" ht="15" hidden="false" customHeight="false" outlineLevel="0" collapsed="false">
      <c r="A51" s="5"/>
      <c r="B51" s="5"/>
      <c r="D51" s="5"/>
      <c r="F51" s="5"/>
      <c r="H51" s="5"/>
      <c r="I51" s="5"/>
    </row>
    <row r="52" customFormat="false" ht="15" hidden="false" customHeight="false" outlineLevel="0" collapsed="false">
      <c r="A52" s="5"/>
      <c r="B52" s="5"/>
      <c r="D52" s="5"/>
      <c r="F52" s="5"/>
      <c r="H52" s="5"/>
      <c r="I52" s="5"/>
    </row>
    <row r="53" customFormat="false" ht="15" hidden="false" customHeight="false" outlineLevel="0" collapsed="false">
      <c r="A53" s="5"/>
      <c r="B53" s="5"/>
      <c r="D53" s="5"/>
      <c r="F53" s="5"/>
      <c r="H53" s="5"/>
      <c r="I53" s="5"/>
    </row>
    <row r="54" customFormat="false" ht="15" hidden="false" customHeight="false" outlineLevel="0" collapsed="false">
      <c r="A54" s="5"/>
      <c r="B54" s="5"/>
      <c r="D54" s="5"/>
      <c r="F54" s="5"/>
      <c r="H54" s="5"/>
      <c r="I54" s="5"/>
    </row>
    <row r="55" customFormat="false" ht="15" hidden="false" customHeight="false" outlineLevel="0" collapsed="false">
      <c r="A55" s="5"/>
      <c r="B55" s="5"/>
      <c r="D55" s="5"/>
      <c r="F55" s="5"/>
      <c r="H55" s="5"/>
      <c r="I55" s="5"/>
    </row>
    <row r="56" customFormat="false" ht="15" hidden="false" customHeight="false" outlineLevel="0" collapsed="false">
      <c r="A56" s="5"/>
      <c r="B56" s="5"/>
      <c r="D56" s="5"/>
      <c r="F56" s="5"/>
      <c r="H56" s="5"/>
      <c r="I56" s="5"/>
    </row>
    <row r="57" customFormat="false" ht="15" hidden="false" customHeight="false" outlineLevel="0" collapsed="false">
      <c r="A57" s="5"/>
      <c r="B57" s="5"/>
      <c r="D57" s="5"/>
      <c r="F57" s="5"/>
      <c r="H57" s="5"/>
      <c r="I57" s="5"/>
    </row>
    <row r="58" customFormat="false" ht="15" hidden="false" customHeight="false" outlineLevel="0" collapsed="false">
      <c r="A58" s="5"/>
      <c r="B58" s="5"/>
      <c r="D58" s="5"/>
      <c r="F58" s="5"/>
      <c r="H58" s="5"/>
      <c r="I58" s="5"/>
    </row>
    <row r="59" customFormat="false" ht="15" hidden="false" customHeight="false" outlineLevel="0" collapsed="false">
      <c r="A59" s="5"/>
      <c r="B59" s="5"/>
      <c r="D59" s="5"/>
      <c r="F59" s="5"/>
      <c r="H59" s="5"/>
      <c r="I59" s="5"/>
    </row>
    <row r="60" customFormat="false" ht="15" hidden="false" customHeight="false" outlineLevel="0" collapsed="false">
      <c r="A60" s="5"/>
      <c r="B60" s="5"/>
      <c r="D60" s="5"/>
      <c r="F60" s="5"/>
      <c r="H60" s="5"/>
      <c r="I60" s="5"/>
    </row>
    <row r="61" customFormat="false" ht="15" hidden="false" customHeight="false" outlineLevel="0" collapsed="false">
      <c r="A61" s="5"/>
      <c r="B61" s="5"/>
      <c r="D61" s="5"/>
      <c r="F61" s="5"/>
      <c r="H61" s="5"/>
      <c r="I61" s="5"/>
    </row>
    <row r="62" customFormat="false" ht="15" hidden="false" customHeight="false" outlineLevel="0" collapsed="false">
      <c r="A62" s="5"/>
      <c r="B62" s="5"/>
      <c r="D62" s="5"/>
      <c r="F62" s="5"/>
      <c r="H62" s="5"/>
      <c r="I62" s="5"/>
    </row>
    <row r="63" customFormat="false" ht="15" hidden="false" customHeight="false" outlineLevel="0" collapsed="false">
      <c r="A63" s="5"/>
      <c r="B63" s="5"/>
      <c r="D63" s="5"/>
      <c r="F63" s="5"/>
      <c r="H63" s="5"/>
      <c r="I63" s="5"/>
    </row>
    <row r="64" customFormat="false" ht="15" hidden="false" customHeight="false" outlineLevel="0" collapsed="false">
      <c r="A64" s="5"/>
      <c r="B64" s="5"/>
      <c r="D64" s="5"/>
      <c r="F64" s="5"/>
      <c r="H64" s="5"/>
      <c r="I64" s="5"/>
    </row>
    <row r="65" customFormat="false" ht="15" hidden="false" customHeight="false" outlineLevel="0" collapsed="false">
      <c r="A65" s="5"/>
      <c r="B65" s="5"/>
      <c r="D65" s="5"/>
      <c r="F65" s="5"/>
      <c r="H65" s="5"/>
      <c r="I65" s="5"/>
    </row>
    <row r="66" customFormat="false" ht="15" hidden="false" customHeight="false" outlineLevel="0" collapsed="false">
      <c r="A66" s="5"/>
      <c r="B66" s="5"/>
      <c r="D66" s="5"/>
      <c r="F66" s="5"/>
      <c r="H66" s="5"/>
      <c r="I66" s="5"/>
    </row>
    <row r="67" customFormat="false" ht="15" hidden="false" customHeight="false" outlineLevel="0" collapsed="false">
      <c r="A67" s="5"/>
      <c r="B67" s="5"/>
      <c r="D67" s="5"/>
      <c r="F67" s="5"/>
      <c r="H67" s="5"/>
      <c r="I67" s="5"/>
    </row>
    <row r="68" customFormat="false" ht="15" hidden="false" customHeight="false" outlineLevel="0" collapsed="false">
      <c r="A68" s="5"/>
      <c r="B68" s="5"/>
      <c r="D68" s="5"/>
      <c r="F68" s="5"/>
      <c r="H68" s="5"/>
      <c r="I68" s="5"/>
    </row>
    <row r="69" customFormat="false" ht="15" hidden="false" customHeight="false" outlineLevel="0" collapsed="false">
      <c r="A69" s="5"/>
      <c r="B69" s="5"/>
      <c r="D69" s="5"/>
      <c r="F69" s="5"/>
      <c r="H69" s="5"/>
      <c r="I69" s="5"/>
    </row>
    <row r="70" customFormat="false" ht="15" hidden="false" customHeight="false" outlineLevel="0" collapsed="false">
      <c r="A70" s="5"/>
      <c r="B70" s="5"/>
      <c r="D70" s="5"/>
      <c r="F70" s="5"/>
      <c r="H70" s="5"/>
      <c r="I70" s="5"/>
    </row>
    <row r="71" customFormat="false" ht="15" hidden="false" customHeight="false" outlineLevel="0" collapsed="false">
      <c r="A71" s="5"/>
      <c r="B71" s="5"/>
      <c r="D71" s="5"/>
      <c r="F71" s="5"/>
      <c r="H71" s="5"/>
      <c r="I71" s="5"/>
    </row>
    <row r="72" customFormat="false" ht="15" hidden="false" customHeight="false" outlineLevel="0" collapsed="false">
      <c r="A72" s="5"/>
      <c r="B72" s="5"/>
      <c r="D72" s="5"/>
      <c r="F72" s="5"/>
      <c r="H72" s="5"/>
      <c r="I72" s="5"/>
    </row>
    <row r="73" customFormat="false" ht="15" hidden="false" customHeight="false" outlineLevel="0" collapsed="false">
      <c r="A73" s="5"/>
      <c r="B73" s="5"/>
      <c r="D73" s="5"/>
      <c r="F73" s="5"/>
      <c r="H73" s="5"/>
      <c r="I73" s="5"/>
    </row>
    <row r="74" customFormat="false" ht="15" hidden="false" customHeight="false" outlineLevel="0" collapsed="false">
      <c r="A74" s="5"/>
      <c r="B74" s="5"/>
      <c r="D74" s="5"/>
      <c r="F74" s="5"/>
      <c r="H74" s="5"/>
      <c r="I74" s="5"/>
    </row>
    <row r="75" customFormat="false" ht="15" hidden="false" customHeight="false" outlineLevel="0" collapsed="false">
      <c r="A75" s="5"/>
      <c r="B75" s="5"/>
      <c r="D75" s="5"/>
      <c r="F75" s="5"/>
      <c r="H75" s="5"/>
      <c r="I75" s="5"/>
    </row>
    <row r="76" customFormat="false" ht="15" hidden="false" customHeight="false" outlineLevel="0" collapsed="false">
      <c r="A76" s="5"/>
      <c r="B76" s="5"/>
      <c r="D76" s="5"/>
      <c r="F76" s="5"/>
      <c r="H76" s="5"/>
      <c r="I76" s="5"/>
    </row>
    <row r="77" customFormat="false" ht="15" hidden="false" customHeight="false" outlineLevel="0" collapsed="false">
      <c r="A77" s="5"/>
      <c r="B77" s="5"/>
      <c r="D77" s="5"/>
      <c r="F77" s="5"/>
      <c r="H77" s="5"/>
      <c r="I77" s="5"/>
    </row>
    <row r="78" customFormat="false" ht="15" hidden="false" customHeight="false" outlineLevel="0" collapsed="false">
      <c r="A78" s="5"/>
      <c r="B78" s="5"/>
      <c r="D78" s="5"/>
      <c r="F78" s="5"/>
      <c r="H78" s="5"/>
      <c r="I78" s="5"/>
    </row>
    <row r="79" customFormat="false" ht="15" hidden="false" customHeight="false" outlineLevel="0" collapsed="false">
      <c r="A79" s="5"/>
      <c r="B79" s="5"/>
      <c r="D79" s="5"/>
      <c r="F79" s="5"/>
      <c r="H79" s="5"/>
      <c r="I79" s="5"/>
    </row>
    <row r="80" customFormat="false" ht="15" hidden="false" customHeight="false" outlineLevel="0" collapsed="false">
      <c r="A80" s="5"/>
      <c r="B80" s="5"/>
      <c r="D80" s="5"/>
      <c r="F80" s="5"/>
      <c r="H80" s="5"/>
      <c r="I80" s="5"/>
    </row>
    <row r="81" customFormat="false" ht="15" hidden="false" customHeight="false" outlineLevel="0" collapsed="false">
      <c r="A81" s="5"/>
      <c r="B81" s="5"/>
      <c r="D81" s="5"/>
      <c r="F81" s="5"/>
      <c r="H81" s="5"/>
      <c r="I81" s="5"/>
    </row>
    <row r="82" customFormat="false" ht="15" hidden="false" customHeight="false" outlineLevel="0" collapsed="false">
      <c r="A82" s="5"/>
      <c r="B82" s="5"/>
      <c r="D82" s="5"/>
      <c r="F82" s="5"/>
      <c r="H82" s="5"/>
      <c r="I82" s="5"/>
    </row>
    <row r="83" customFormat="false" ht="15" hidden="false" customHeight="false" outlineLevel="0" collapsed="false">
      <c r="A83" s="5"/>
      <c r="B83" s="5"/>
      <c r="D83" s="5"/>
      <c r="F83" s="5"/>
      <c r="H83" s="5"/>
      <c r="I83" s="5"/>
    </row>
    <row r="84" customFormat="false" ht="15" hidden="false" customHeight="false" outlineLevel="0" collapsed="false">
      <c r="A84" s="5"/>
      <c r="B84" s="5"/>
      <c r="D84" s="5"/>
      <c r="F84" s="5"/>
      <c r="H84" s="5"/>
      <c r="I84" s="5"/>
    </row>
    <row r="85" customFormat="false" ht="15" hidden="false" customHeight="false" outlineLevel="0" collapsed="false">
      <c r="A85" s="5"/>
      <c r="B85" s="5"/>
      <c r="D85" s="5"/>
      <c r="F85" s="5"/>
      <c r="H85" s="5"/>
      <c r="I85" s="5"/>
    </row>
    <row r="86" customFormat="false" ht="15" hidden="false" customHeight="false" outlineLevel="0" collapsed="false">
      <c r="A86" s="5"/>
      <c r="B86" s="5"/>
      <c r="D86" s="5"/>
      <c r="F86" s="5"/>
      <c r="H86" s="5"/>
      <c r="I86" s="5"/>
    </row>
    <row r="87" customFormat="false" ht="15" hidden="false" customHeight="false" outlineLevel="0" collapsed="false">
      <c r="A87" s="5"/>
      <c r="B87" s="5"/>
      <c r="D87" s="5"/>
      <c r="F87" s="5"/>
      <c r="H87" s="5"/>
      <c r="I87" s="5"/>
    </row>
    <row r="88" customFormat="false" ht="15" hidden="false" customHeight="false" outlineLevel="0" collapsed="false">
      <c r="A88" s="5"/>
      <c r="B88" s="5"/>
      <c r="D88" s="5"/>
      <c r="F88" s="5"/>
      <c r="H88" s="5"/>
      <c r="I88" s="5"/>
    </row>
    <row r="89" customFormat="false" ht="15" hidden="false" customHeight="false" outlineLevel="0" collapsed="false">
      <c r="A89" s="5"/>
      <c r="B89" s="5"/>
      <c r="D89" s="5"/>
      <c r="F89" s="5"/>
      <c r="H89" s="5"/>
      <c r="I89" s="5"/>
    </row>
    <row r="90" customFormat="false" ht="15" hidden="false" customHeight="false" outlineLevel="0" collapsed="false">
      <c r="A90" s="5"/>
      <c r="B90" s="5"/>
      <c r="D90" s="5"/>
      <c r="F90" s="5"/>
      <c r="H90" s="5"/>
      <c r="I90" s="5"/>
    </row>
    <row r="91" customFormat="false" ht="15" hidden="false" customHeight="false" outlineLevel="0" collapsed="false">
      <c r="A91" s="5"/>
      <c r="B91" s="5"/>
      <c r="D91" s="5"/>
      <c r="F91" s="5"/>
      <c r="H91" s="5"/>
      <c r="I91" s="5"/>
    </row>
    <row r="92" customFormat="false" ht="15" hidden="false" customHeight="false" outlineLevel="0" collapsed="false">
      <c r="A92" s="5"/>
      <c r="B92" s="5"/>
      <c r="D92" s="5"/>
      <c r="F92" s="5"/>
      <c r="H92" s="5"/>
      <c r="I92" s="5"/>
    </row>
    <row r="93" customFormat="false" ht="15" hidden="false" customHeight="false" outlineLevel="0" collapsed="false">
      <c r="A93" s="5"/>
      <c r="B93" s="5"/>
      <c r="D93" s="5"/>
      <c r="F93" s="5"/>
      <c r="H93" s="5"/>
      <c r="I93" s="5"/>
    </row>
    <row r="94" customFormat="false" ht="15" hidden="false" customHeight="false" outlineLevel="0" collapsed="false">
      <c r="A94" s="5"/>
      <c r="B94" s="5"/>
      <c r="D94" s="5"/>
      <c r="F94" s="5"/>
      <c r="H94" s="5"/>
      <c r="I94" s="5"/>
    </row>
    <row r="95" customFormat="false" ht="15" hidden="false" customHeight="false" outlineLevel="0" collapsed="false">
      <c r="A95" s="5"/>
      <c r="B95" s="5"/>
      <c r="D95" s="5"/>
      <c r="F95" s="5"/>
      <c r="H95" s="5"/>
      <c r="I95" s="5"/>
    </row>
    <row r="96" customFormat="false" ht="15" hidden="false" customHeight="false" outlineLevel="0" collapsed="false">
      <c r="A96" s="5"/>
      <c r="B96" s="5"/>
      <c r="D96" s="5"/>
      <c r="F96" s="5"/>
      <c r="H96" s="5"/>
      <c r="I96" s="5"/>
    </row>
    <row r="97" customFormat="false" ht="15" hidden="false" customHeight="false" outlineLevel="0" collapsed="false">
      <c r="A97" s="5"/>
      <c r="B97" s="5"/>
      <c r="D97" s="5"/>
      <c r="F97" s="5"/>
      <c r="H97" s="5"/>
      <c r="I97" s="5"/>
    </row>
    <row r="98" customFormat="false" ht="15" hidden="false" customHeight="false" outlineLevel="0" collapsed="false">
      <c r="A98" s="5"/>
      <c r="B98" s="5"/>
      <c r="D98" s="5"/>
      <c r="F98" s="5"/>
      <c r="H98" s="5"/>
      <c r="I98" s="5"/>
    </row>
    <row r="99" customFormat="false" ht="15" hidden="false" customHeight="false" outlineLevel="0" collapsed="false">
      <c r="A99" s="5"/>
      <c r="B99" s="5"/>
      <c r="D99" s="5"/>
      <c r="F99" s="5"/>
      <c r="H99" s="5"/>
      <c r="I99" s="5"/>
    </row>
    <row r="100" customFormat="false" ht="15" hidden="false" customHeight="false" outlineLevel="0" collapsed="false">
      <c r="A100" s="5"/>
      <c r="B100" s="5"/>
      <c r="D100" s="5"/>
      <c r="F100" s="5"/>
      <c r="H100" s="5"/>
      <c r="I100" s="5"/>
    </row>
    <row r="101" customFormat="false" ht="15" hidden="false" customHeight="false" outlineLevel="0" collapsed="false">
      <c r="A101" s="5"/>
      <c r="B101" s="5"/>
      <c r="D101" s="5"/>
      <c r="F101" s="5"/>
      <c r="H101" s="5"/>
      <c r="I101" s="5"/>
    </row>
    <row r="102" customFormat="false" ht="15" hidden="false" customHeight="false" outlineLevel="0" collapsed="false">
      <c r="A102" s="5"/>
      <c r="B102" s="5"/>
      <c r="D102" s="5"/>
      <c r="F102" s="5"/>
      <c r="H102" s="5"/>
      <c r="I102" s="5"/>
    </row>
    <row r="103" customFormat="false" ht="15" hidden="false" customHeight="false" outlineLevel="0" collapsed="false">
      <c r="A103" s="5"/>
      <c r="B103" s="5"/>
      <c r="D103" s="5"/>
      <c r="F103" s="5"/>
      <c r="H103" s="5"/>
      <c r="I103" s="5"/>
    </row>
    <row r="104" customFormat="false" ht="15" hidden="false" customHeight="false" outlineLevel="0" collapsed="false">
      <c r="A104" s="5"/>
      <c r="B104" s="5"/>
      <c r="D104" s="5"/>
      <c r="F104" s="5"/>
      <c r="H104" s="5"/>
      <c r="I104" s="5"/>
    </row>
    <row r="105" customFormat="false" ht="15" hidden="false" customHeight="false" outlineLevel="0" collapsed="false">
      <c r="A105" s="5"/>
      <c r="B105" s="5"/>
      <c r="D105" s="5"/>
      <c r="F105" s="5"/>
      <c r="H105" s="5"/>
      <c r="I105" s="5"/>
    </row>
    <row r="106" customFormat="false" ht="15" hidden="false" customHeight="false" outlineLevel="0" collapsed="false">
      <c r="A106" s="5"/>
      <c r="B106" s="5"/>
      <c r="D106" s="5"/>
      <c r="F106" s="5"/>
      <c r="H106" s="5"/>
      <c r="I106" s="5"/>
    </row>
    <row r="107" customFormat="false" ht="15" hidden="false" customHeight="false" outlineLevel="0" collapsed="false">
      <c r="A107" s="5"/>
      <c r="B107" s="5"/>
      <c r="D107" s="5"/>
      <c r="F107" s="5"/>
      <c r="H107" s="5"/>
      <c r="I107" s="5"/>
    </row>
    <row r="108" customFormat="false" ht="15" hidden="false" customHeight="false" outlineLevel="0" collapsed="false">
      <c r="A108" s="5"/>
      <c r="B108" s="5"/>
      <c r="D108" s="5"/>
      <c r="F108" s="5"/>
      <c r="H108" s="5"/>
      <c r="I108" s="5"/>
    </row>
    <row r="109" customFormat="false" ht="15" hidden="false" customHeight="false" outlineLevel="0" collapsed="false">
      <c r="A109" s="5"/>
      <c r="B109" s="5"/>
      <c r="D109" s="5"/>
      <c r="F109" s="5"/>
      <c r="H109" s="5"/>
      <c r="I109" s="5"/>
    </row>
    <row r="110" customFormat="false" ht="15" hidden="false" customHeight="false" outlineLevel="0" collapsed="false">
      <c r="A110" s="5"/>
      <c r="B110" s="5"/>
      <c r="D110" s="5"/>
      <c r="F110" s="5"/>
      <c r="H110" s="5"/>
      <c r="I110" s="5"/>
    </row>
    <row r="111" customFormat="false" ht="15" hidden="false" customHeight="false" outlineLevel="0" collapsed="false">
      <c r="A111" s="5"/>
      <c r="B111" s="5"/>
      <c r="D111" s="5"/>
      <c r="F111" s="5"/>
      <c r="H111" s="5"/>
      <c r="I111" s="5"/>
    </row>
    <row r="112" customFormat="false" ht="15" hidden="false" customHeight="false" outlineLevel="0" collapsed="false">
      <c r="A112" s="5"/>
      <c r="B112" s="5"/>
      <c r="D112" s="5"/>
      <c r="F112" s="5"/>
      <c r="H112" s="5"/>
      <c r="I112" s="5"/>
    </row>
    <row r="113" customFormat="false" ht="15" hidden="false" customHeight="false" outlineLevel="0" collapsed="false">
      <c r="A113" s="5"/>
      <c r="B113" s="5"/>
      <c r="D113" s="5"/>
      <c r="F113" s="5"/>
      <c r="H113" s="5"/>
      <c r="I113" s="5"/>
    </row>
    <row r="114" customFormat="false" ht="15" hidden="false" customHeight="false" outlineLevel="0" collapsed="false">
      <c r="A114" s="5"/>
      <c r="B114" s="5"/>
      <c r="D114" s="5"/>
      <c r="F114" s="5"/>
      <c r="H114" s="5"/>
      <c r="I114" s="5"/>
    </row>
    <row r="115" customFormat="false" ht="15" hidden="false" customHeight="false" outlineLevel="0" collapsed="false">
      <c r="A115" s="5"/>
      <c r="B115" s="5"/>
      <c r="D115" s="5"/>
      <c r="F115" s="5"/>
      <c r="H115" s="5"/>
      <c r="I115" s="5"/>
    </row>
    <row r="116" customFormat="false" ht="15" hidden="false" customHeight="false" outlineLevel="0" collapsed="false">
      <c r="A116" s="5"/>
      <c r="B116" s="5"/>
      <c r="D116" s="5"/>
      <c r="F116" s="5"/>
      <c r="H116" s="5"/>
      <c r="I116" s="5"/>
    </row>
    <row r="117" customFormat="false" ht="15" hidden="false" customHeight="false" outlineLevel="0" collapsed="false">
      <c r="A117" s="5"/>
      <c r="B117" s="5"/>
      <c r="D117" s="5"/>
      <c r="F117" s="5"/>
      <c r="H117" s="5"/>
      <c r="I117" s="5"/>
    </row>
    <row r="118" customFormat="false" ht="15" hidden="false" customHeight="false" outlineLevel="0" collapsed="false">
      <c r="A118" s="5"/>
      <c r="B118" s="5"/>
      <c r="D118" s="5"/>
      <c r="F118" s="5"/>
      <c r="H118" s="5"/>
      <c r="I118" s="5"/>
    </row>
    <row r="119" customFormat="false" ht="15" hidden="false" customHeight="false" outlineLevel="0" collapsed="false">
      <c r="A119" s="5"/>
      <c r="B119" s="5"/>
      <c r="D119" s="5"/>
      <c r="F119" s="5"/>
      <c r="H119" s="5"/>
      <c r="I119" s="5"/>
    </row>
    <row r="120" customFormat="false" ht="15" hidden="false" customHeight="false" outlineLevel="0" collapsed="false">
      <c r="A120" s="5"/>
      <c r="B120" s="5"/>
      <c r="D120" s="5"/>
      <c r="F120" s="5"/>
      <c r="H120" s="5"/>
      <c r="I120" s="5"/>
    </row>
    <row r="121" customFormat="false" ht="15" hidden="false" customHeight="false" outlineLevel="0" collapsed="false">
      <c r="A121" s="5"/>
      <c r="B121" s="5"/>
      <c r="D121" s="5"/>
      <c r="F121" s="5"/>
      <c r="H121" s="5"/>
      <c r="I121" s="5"/>
    </row>
    <row r="122" customFormat="false" ht="15" hidden="false" customHeight="false" outlineLevel="0" collapsed="false">
      <c r="A122" s="5"/>
      <c r="B122" s="5"/>
      <c r="D122" s="5"/>
      <c r="F122" s="5"/>
      <c r="H122" s="5"/>
      <c r="I122" s="5"/>
    </row>
    <row r="123" customFormat="false" ht="15" hidden="false" customHeight="false" outlineLevel="0" collapsed="false">
      <c r="A123" s="5"/>
      <c r="B123" s="5"/>
      <c r="D123" s="5"/>
      <c r="F123" s="5"/>
      <c r="H123" s="5"/>
      <c r="I123" s="5"/>
    </row>
    <row r="124" customFormat="false" ht="15" hidden="false" customHeight="false" outlineLevel="0" collapsed="false">
      <c r="A124" s="5"/>
      <c r="B124" s="5"/>
      <c r="D124" s="5"/>
      <c r="F124" s="5"/>
      <c r="H124" s="5"/>
      <c r="I124" s="5"/>
    </row>
    <row r="125" customFormat="false" ht="15" hidden="false" customHeight="false" outlineLevel="0" collapsed="false">
      <c r="A125" s="5"/>
      <c r="B125" s="5"/>
      <c r="D125" s="5"/>
      <c r="F125" s="5"/>
      <c r="H125" s="5"/>
      <c r="I125" s="5"/>
    </row>
    <row r="126" customFormat="false" ht="15" hidden="false" customHeight="false" outlineLevel="0" collapsed="false">
      <c r="A126" s="5"/>
      <c r="B126" s="5"/>
      <c r="D126" s="5"/>
      <c r="F126" s="5"/>
      <c r="H126" s="5"/>
      <c r="I126" s="5"/>
    </row>
    <row r="127" customFormat="false" ht="15" hidden="false" customHeight="false" outlineLevel="0" collapsed="false">
      <c r="A127" s="5"/>
      <c r="B127" s="5"/>
      <c r="D127" s="5"/>
      <c r="F127" s="5"/>
      <c r="H127" s="5"/>
      <c r="I127" s="5"/>
    </row>
    <row r="128" customFormat="false" ht="15" hidden="false" customHeight="false" outlineLevel="0" collapsed="false">
      <c r="A128" s="5"/>
      <c r="B128" s="5"/>
      <c r="D128" s="5"/>
      <c r="F128" s="5"/>
      <c r="H128" s="5"/>
      <c r="I128" s="5"/>
    </row>
    <row r="129" customFormat="false" ht="15" hidden="false" customHeight="false" outlineLevel="0" collapsed="false">
      <c r="A129" s="5"/>
      <c r="B129" s="5"/>
      <c r="D129" s="5"/>
      <c r="F129" s="5"/>
      <c r="H129" s="5"/>
      <c r="I129" s="5"/>
    </row>
    <row r="130" customFormat="false" ht="15" hidden="false" customHeight="false" outlineLevel="0" collapsed="false">
      <c r="A130" s="5"/>
      <c r="B130" s="5"/>
      <c r="D130" s="5"/>
      <c r="F130" s="5"/>
      <c r="H130" s="5"/>
      <c r="I130" s="5"/>
    </row>
    <row r="131" customFormat="false" ht="15" hidden="false" customHeight="false" outlineLevel="0" collapsed="false">
      <c r="A131" s="5"/>
      <c r="B131" s="5"/>
      <c r="D131" s="5"/>
      <c r="F131" s="5"/>
      <c r="H131" s="5"/>
      <c r="I131" s="5"/>
    </row>
    <row r="132" customFormat="false" ht="15" hidden="false" customHeight="false" outlineLevel="0" collapsed="false">
      <c r="A132" s="5"/>
      <c r="B132" s="5"/>
      <c r="D132" s="5"/>
      <c r="F132" s="5"/>
      <c r="H132" s="5"/>
      <c r="I132" s="5"/>
    </row>
    <row r="133" customFormat="false" ht="15" hidden="false" customHeight="false" outlineLevel="0" collapsed="false">
      <c r="A133" s="5"/>
      <c r="B133" s="5"/>
      <c r="D133" s="5"/>
      <c r="F133" s="5"/>
      <c r="H133" s="5"/>
      <c r="I133" s="5"/>
    </row>
    <row r="134" customFormat="false" ht="15" hidden="false" customHeight="false" outlineLevel="0" collapsed="false">
      <c r="A134" s="5"/>
      <c r="B134" s="5"/>
      <c r="D134" s="5"/>
      <c r="F134" s="5"/>
      <c r="H134" s="5"/>
      <c r="I134" s="5"/>
    </row>
    <row r="135" customFormat="false" ht="15" hidden="false" customHeight="false" outlineLevel="0" collapsed="false">
      <c r="A135" s="5"/>
      <c r="B135" s="5"/>
      <c r="D135" s="5"/>
      <c r="F135" s="5"/>
      <c r="H135" s="5"/>
      <c r="I135" s="5"/>
    </row>
    <row r="136" customFormat="false" ht="15" hidden="false" customHeight="false" outlineLevel="0" collapsed="false">
      <c r="A136" s="5"/>
      <c r="B136" s="5"/>
      <c r="D136" s="5"/>
      <c r="F136" s="5"/>
      <c r="H136" s="5"/>
      <c r="I136" s="5"/>
    </row>
    <row r="137" customFormat="false" ht="15" hidden="false" customHeight="false" outlineLevel="0" collapsed="false">
      <c r="A137" s="5"/>
      <c r="B137" s="5"/>
      <c r="D137" s="5"/>
      <c r="F137" s="5"/>
      <c r="H137" s="5"/>
      <c r="I137" s="5"/>
    </row>
    <row r="138" customFormat="false" ht="15" hidden="false" customHeight="false" outlineLevel="0" collapsed="false">
      <c r="A138" s="5"/>
      <c r="B138" s="5"/>
      <c r="D138" s="5"/>
      <c r="F138" s="5"/>
      <c r="H138" s="5"/>
      <c r="I138" s="5"/>
    </row>
    <row r="139" customFormat="false" ht="15" hidden="false" customHeight="false" outlineLevel="0" collapsed="false">
      <c r="A139" s="5"/>
      <c r="B139" s="5"/>
      <c r="D139" s="5"/>
      <c r="F139" s="5"/>
      <c r="H139" s="5"/>
      <c r="I139" s="5"/>
    </row>
    <row r="140" customFormat="false" ht="15" hidden="false" customHeight="false" outlineLevel="0" collapsed="false">
      <c r="A140" s="5"/>
      <c r="B140" s="5"/>
      <c r="D140" s="5"/>
      <c r="F140" s="5"/>
      <c r="H140" s="5"/>
      <c r="I140" s="5"/>
    </row>
    <row r="141" customFormat="false" ht="15" hidden="false" customHeight="false" outlineLevel="0" collapsed="false">
      <c r="A141" s="5"/>
      <c r="B141" s="5"/>
      <c r="D141" s="5"/>
      <c r="F141" s="5"/>
      <c r="H141" s="5"/>
      <c r="I141" s="5"/>
    </row>
    <row r="142" customFormat="false" ht="15" hidden="false" customHeight="false" outlineLevel="0" collapsed="false">
      <c r="A142" s="5"/>
      <c r="B142" s="5"/>
      <c r="D142" s="5"/>
      <c r="F142" s="5"/>
      <c r="H142" s="5"/>
      <c r="I142" s="5"/>
    </row>
    <row r="143" customFormat="false" ht="15" hidden="false" customHeight="false" outlineLevel="0" collapsed="false">
      <c r="A143" s="5"/>
      <c r="B143" s="5"/>
      <c r="D143" s="5"/>
      <c r="F143" s="5"/>
      <c r="H143" s="5"/>
      <c r="I143" s="5"/>
    </row>
    <row r="144" customFormat="false" ht="15" hidden="false" customHeight="false" outlineLevel="0" collapsed="false">
      <c r="A144" s="5"/>
      <c r="B144" s="5"/>
      <c r="D144" s="5"/>
      <c r="F144" s="5"/>
      <c r="H144" s="5"/>
      <c r="I144" s="5"/>
    </row>
    <row r="145" customFormat="false" ht="15" hidden="false" customHeight="false" outlineLevel="0" collapsed="false">
      <c r="A145" s="5"/>
      <c r="B145" s="5"/>
      <c r="D145" s="5"/>
      <c r="F145" s="5"/>
      <c r="H145" s="5"/>
      <c r="I145" s="5"/>
    </row>
    <row r="146" customFormat="false" ht="15" hidden="false" customHeight="false" outlineLevel="0" collapsed="false">
      <c r="A146" s="5"/>
      <c r="B146" s="5"/>
      <c r="D146" s="5"/>
      <c r="F146" s="5"/>
      <c r="H146" s="5"/>
      <c r="I146" s="5"/>
    </row>
    <row r="147" customFormat="false" ht="15" hidden="false" customHeight="false" outlineLevel="0" collapsed="false">
      <c r="A147" s="5"/>
      <c r="B147" s="5"/>
      <c r="D147" s="5"/>
      <c r="F147" s="5"/>
      <c r="H147" s="5"/>
      <c r="I147" s="5"/>
    </row>
    <row r="148" customFormat="false" ht="15" hidden="false" customHeight="false" outlineLevel="0" collapsed="false">
      <c r="A148" s="5"/>
      <c r="B148" s="5"/>
      <c r="D148" s="5"/>
      <c r="F148" s="5"/>
      <c r="H148" s="5"/>
      <c r="I148" s="5"/>
    </row>
    <row r="149" customFormat="false" ht="15" hidden="false" customHeight="false" outlineLevel="0" collapsed="false">
      <c r="A149" s="5"/>
      <c r="B149" s="5"/>
      <c r="D149" s="5"/>
      <c r="F149" s="5"/>
      <c r="H149" s="5"/>
      <c r="I149" s="5"/>
    </row>
    <row r="150" customFormat="false" ht="15" hidden="false" customHeight="false" outlineLevel="0" collapsed="false">
      <c r="A150" s="5"/>
      <c r="B150" s="5"/>
      <c r="D150" s="5"/>
      <c r="F150" s="5"/>
      <c r="H150" s="5"/>
      <c r="I150" s="5"/>
    </row>
    <row r="151" customFormat="false" ht="15" hidden="false" customHeight="false" outlineLevel="0" collapsed="false">
      <c r="A151" s="5"/>
      <c r="B151" s="5"/>
      <c r="D151" s="5"/>
      <c r="F151" s="5"/>
      <c r="H151" s="5"/>
      <c r="I151" s="5"/>
    </row>
    <row r="152" customFormat="false" ht="15" hidden="false" customHeight="false" outlineLevel="0" collapsed="false">
      <c r="A152" s="5"/>
      <c r="B152" s="5"/>
      <c r="D152" s="5"/>
      <c r="F152" s="5"/>
      <c r="H152" s="5"/>
      <c r="I152" s="5"/>
    </row>
    <row r="153" customFormat="false" ht="15" hidden="false" customHeight="false" outlineLevel="0" collapsed="false">
      <c r="A153" s="5"/>
      <c r="B153" s="5"/>
      <c r="D153" s="5"/>
      <c r="F153" s="5"/>
      <c r="H153" s="5"/>
      <c r="I153" s="5"/>
    </row>
    <row r="154" customFormat="false" ht="15" hidden="false" customHeight="false" outlineLevel="0" collapsed="false">
      <c r="A154" s="5"/>
      <c r="B154" s="5"/>
      <c r="D154" s="5"/>
      <c r="F154" s="5"/>
      <c r="H154" s="5"/>
      <c r="I154" s="5"/>
    </row>
    <row r="155" customFormat="false" ht="15" hidden="false" customHeight="false" outlineLevel="0" collapsed="false">
      <c r="A155" s="5"/>
      <c r="B155" s="5"/>
      <c r="D155" s="5"/>
      <c r="F155" s="5"/>
      <c r="H155" s="5"/>
      <c r="I155" s="5"/>
    </row>
    <row r="156" customFormat="false" ht="15" hidden="false" customHeight="false" outlineLevel="0" collapsed="false">
      <c r="A156" s="5"/>
      <c r="B156" s="5"/>
      <c r="D156" s="5"/>
      <c r="F156" s="5"/>
      <c r="H156" s="5"/>
      <c r="I156" s="5"/>
    </row>
    <row r="157" customFormat="false" ht="15" hidden="false" customHeight="false" outlineLevel="0" collapsed="false">
      <c r="A157" s="5"/>
      <c r="B157" s="5"/>
      <c r="D157" s="5"/>
      <c r="F157" s="5"/>
      <c r="H157" s="5"/>
      <c r="I157" s="5"/>
    </row>
    <row r="158" customFormat="false" ht="15" hidden="false" customHeight="false" outlineLevel="0" collapsed="false">
      <c r="A158" s="5"/>
      <c r="B158" s="5"/>
      <c r="D158" s="5"/>
      <c r="F158" s="5"/>
      <c r="H158" s="5"/>
      <c r="I158" s="5"/>
    </row>
    <row r="159" customFormat="false" ht="15" hidden="false" customHeight="false" outlineLevel="0" collapsed="false">
      <c r="A159" s="5"/>
      <c r="B159" s="5"/>
      <c r="D159" s="5"/>
      <c r="F159" s="5"/>
      <c r="H159" s="5"/>
      <c r="I159" s="5"/>
    </row>
    <row r="160" customFormat="false" ht="15" hidden="false" customHeight="false" outlineLevel="0" collapsed="false">
      <c r="A160" s="5"/>
      <c r="B160" s="5"/>
      <c r="D160" s="5"/>
      <c r="F160" s="5"/>
      <c r="H160" s="5"/>
      <c r="I160" s="5"/>
    </row>
    <row r="161" customFormat="false" ht="15" hidden="false" customHeight="false" outlineLevel="0" collapsed="false">
      <c r="A161" s="5"/>
      <c r="B161" s="5"/>
      <c r="D161" s="5"/>
      <c r="F161" s="5"/>
      <c r="H161" s="5"/>
      <c r="I161" s="5"/>
    </row>
    <row r="162" customFormat="false" ht="15" hidden="false" customHeight="false" outlineLevel="0" collapsed="false">
      <c r="A162" s="5"/>
      <c r="B162" s="5"/>
      <c r="D162" s="5"/>
      <c r="F162" s="5"/>
      <c r="H162" s="5"/>
      <c r="I162" s="5"/>
    </row>
    <row r="163" customFormat="false" ht="15" hidden="false" customHeight="false" outlineLevel="0" collapsed="false">
      <c r="A163" s="5"/>
      <c r="B163" s="5"/>
      <c r="D163" s="5"/>
      <c r="F163" s="5"/>
      <c r="H163" s="5"/>
      <c r="I163" s="5"/>
    </row>
    <row r="164" customFormat="false" ht="15" hidden="false" customHeight="false" outlineLevel="0" collapsed="false">
      <c r="A164" s="5"/>
      <c r="B164" s="5"/>
      <c r="D164" s="5"/>
      <c r="F164" s="5"/>
      <c r="H164" s="5"/>
      <c r="I164" s="5"/>
    </row>
    <row r="165" customFormat="false" ht="15" hidden="false" customHeight="false" outlineLevel="0" collapsed="false">
      <c r="A165" s="5"/>
      <c r="B165" s="5"/>
      <c r="D165" s="5"/>
      <c r="F165" s="5"/>
      <c r="H165" s="5"/>
      <c r="I165" s="5"/>
    </row>
    <row r="166" customFormat="false" ht="15" hidden="false" customHeight="false" outlineLevel="0" collapsed="false">
      <c r="A166" s="5"/>
      <c r="B166" s="5"/>
      <c r="D166" s="5"/>
      <c r="F166" s="5"/>
      <c r="H166" s="5"/>
      <c r="I166" s="5"/>
    </row>
    <row r="167" customFormat="false" ht="15" hidden="false" customHeight="false" outlineLevel="0" collapsed="false">
      <c r="A167" s="5"/>
      <c r="B167" s="5"/>
      <c r="D167" s="5"/>
      <c r="F167" s="5"/>
      <c r="H167" s="5"/>
      <c r="I167" s="5"/>
    </row>
    <row r="168" customFormat="false" ht="15" hidden="false" customHeight="false" outlineLevel="0" collapsed="false">
      <c r="A168" s="5"/>
      <c r="B168" s="5"/>
      <c r="D168" s="5"/>
      <c r="F168" s="5"/>
      <c r="H168" s="5"/>
      <c r="I168" s="5"/>
    </row>
    <row r="169" customFormat="false" ht="15" hidden="false" customHeight="false" outlineLevel="0" collapsed="false">
      <c r="A169" s="5"/>
      <c r="B169" s="5"/>
      <c r="D169" s="5"/>
      <c r="F169" s="5"/>
      <c r="H169" s="5"/>
      <c r="I169" s="5"/>
    </row>
    <row r="170" customFormat="false" ht="15" hidden="false" customHeight="false" outlineLevel="0" collapsed="false">
      <c r="A170" s="5"/>
      <c r="B170" s="5"/>
      <c r="D170" s="5"/>
      <c r="F170" s="5"/>
      <c r="H170" s="5"/>
      <c r="I170" s="5"/>
    </row>
    <row r="171" customFormat="false" ht="15" hidden="false" customHeight="false" outlineLevel="0" collapsed="false">
      <c r="A171" s="5"/>
      <c r="B171" s="5"/>
      <c r="D171" s="5"/>
      <c r="F171" s="5"/>
      <c r="H171" s="5"/>
      <c r="I171" s="5"/>
    </row>
    <row r="172" customFormat="false" ht="15" hidden="false" customHeight="false" outlineLevel="0" collapsed="false">
      <c r="A172" s="5"/>
      <c r="B172" s="5"/>
      <c r="D172" s="5"/>
      <c r="F172" s="5"/>
      <c r="H172" s="5"/>
      <c r="I172" s="5"/>
    </row>
    <row r="173" customFormat="false" ht="15" hidden="false" customHeight="false" outlineLevel="0" collapsed="false">
      <c r="A173" s="5"/>
      <c r="B173" s="5"/>
      <c r="D173" s="5"/>
      <c r="F173" s="5"/>
      <c r="H173" s="5"/>
      <c r="I173" s="5"/>
    </row>
    <row r="174" customFormat="false" ht="15" hidden="false" customHeight="false" outlineLevel="0" collapsed="false">
      <c r="A174" s="5"/>
      <c r="B174" s="5"/>
      <c r="D174" s="5"/>
      <c r="F174" s="5"/>
      <c r="H174" s="5"/>
      <c r="I174" s="5"/>
    </row>
    <row r="175" customFormat="false" ht="15" hidden="false" customHeight="false" outlineLevel="0" collapsed="false">
      <c r="A175" s="5"/>
      <c r="B175" s="5"/>
      <c r="D175" s="5"/>
      <c r="F175" s="5"/>
      <c r="H175" s="5"/>
      <c r="I175" s="5"/>
    </row>
    <row r="176" customFormat="false" ht="15" hidden="false" customHeight="false" outlineLevel="0" collapsed="false">
      <c r="A176" s="5"/>
      <c r="B176" s="5"/>
      <c r="D176" s="5"/>
      <c r="F176" s="5"/>
      <c r="H176" s="5"/>
      <c r="I176" s="5"/>
    </row>
    <row r="177" customFormat="false" ht="15" hidden="false" customHeight="false" outlineLevel="0" collapsed="false">
      <c r="A177" s="5"/>
      <c r="B177" s="5"/>
      <c r="D177" s="5"/>
      <c r="F177" s="5"/>
      <c r="H177" s="5"/>
      <c r="I177" s="5"/>
    </row>
    <row r="178" customFormat="false" ht="15" hidden="false" customHeight="false" outlineLevel="0" collapsed="false">
      <c r="A178" s="5"/>
      <c r="B178" s="5"/>
      <c r="D178" s="5"/>
      <c r="F178" s="5"/>
      <c r="H178" s="5"/>
      <c r="I178" s="5"/>
    </row>
    <row r="179" customFormat="false" ht="15" hidden="false" customHeight="false" outlineLevel="0" collapsed="false">
      <c r="A179" s="5"/>
      <c r="B179" s="5"/>
      <c r="D179" s="5"/>
      <c r="F179" s="5"/>
      <c r="H179" s="5"/>
      <c r="I179" s="5"/>
    </row>
    <row r="180" customFormat="false" ht="15" hidden="false" customHeight="false" outlineLevel="0" collapsed="false">
      <c r="A180" s="5"/>
      <c r="B180" s="5"/>
      <c r="D180" s="5"/>
      <c r="F180" s="5"/>
      <c r="H180" s="5"/>
      <c r="I180" s="5"/>
    </row>
    <row r="181" customFormat="false" ht="15" hidden="false" customHeight="false" outlineLevel="0" collapsed="false">
      <c r="A181" s="5"/>
      <c r="B181" s="5"/>
      <c r="D181" s="5"/>
      <c r="F181" s="5"/>
      <c r="H181" s="5"/>
      <c r="I181" s="5"/>
    </row>
    <row r="182" customFormat="false" ht="15" hidden="false" customHeight="false" outlineLevel="0" collapsed="false">
      <c r="A182" s="5"/>
      <c r="B182" s="5"/>
      <c r="D182" s="5"/>
      <c r="F182" s="5"/>
      <c r="H182" s="5"/>
      <c r="I182" s="5"/>
    </row>
    <row r="183" customFormat="false" ht="15" hidden="false" customHeight="false" outlineLevel="0" collapsed="false">
      <c r="A183" s="5"/>
      <c r="B183" s="5"/>
      <c r="D183" s="5"/>
      <c r="F183" s="5"/>
      <c r="H183" s="5"/>
      <c r="I183" s="5"/>
    </row>
    <row r="184" customFormat="false" ht="15" hidden="false" customHeight="false" outlineLevel="0" collapsed="false">
      <c r="A184" s="5"/>
      <c r="B184" s="5"/>
      <c r="D184" s="5"/>
      <c r="F184" s="5"/>
      <c r="H184" s="5"/>
      <c r="I184" s="5"/>
    </row>
    <row r="185" customFormat="false" ht="15" hidden="false" customHeight="false" outlineLevel="0" collapsed="false">
      <c r="A185" s="5"/>
      <c r="B185" s="5"/>
      <c r="D185" s="5"/>
      <c r="F185" s="5"/>
      <c r="H185" s="5"/>
      <c r="I185" s="5"/>
    </row>
    <row r="186" customFormat="false" ht="15" hidden="false" customHeight="false" outlineLevel="0" collapsed="false">
      <c r="A186" s="5"/>
      <c r="B186" s="5"/>
      <c r="D186" s="5"/>
      <c r="F186" s="5"/>
      <c r="H186" s="5"/>
      <c r="I186" s="5"/>
    </row>
    <row r="187" customFormat="false" ht="15" hidden="false" customHeight="false" outlineLevel="0" collapsed="false">
      <c r="A187" s="5"/>
      <c r="B187" s="5"/>
      <c r="D187" s="5"/>
      <c r="F187" s="5"/>
      <c r="H187" s="5"/>
      <c r="I187" s="5"/>
    </row>
    <row r="188" customFormat="false" ht="15" hidden="false" customHeight="false" outlineLevel="0" collapsed="false">
      <c r="A188" s="5"/>
      <c r="B188" s="5"/>
      <c r="D188" s="5"/>
      <c r="F188" s="5"/>
      <c r="H188" s="5"/>
      <c r="I188" s="5"/>
    </row>
    <row r="189" customFormat="false" ht="15" hidden="false" customHeight="false" outlineLevel="0" collapsed="false">
      <c r="A189" s="5"/>
      <c r="B189" s="5"/>
      <c r="D189" s="5"/>
      <c r="F189" s="5"/>
      <c r="H189" s="5"/>
      <c r="I189" s="5"/>
    </row>
    <row r="190" customFormat="false" ht="15" hidden="false" customHeight="false" outlineLevel="0" collapsed="false">
      <c r="A190" s="5"/>
      <c r="B190" s="5"/>
      <c r="D190" s="5"/>
      <c r="F190" s="5"/>
      <c r="H190" s="5"/>
      <c r="I190" s="5"/>
    </row>
    <row r="191" customFormat="false" ht="15" hidden="false" customHeight="false" outlineLevel="0" collapsed="false">
      <c r="A191" s="5"/>
      <c r="B191" s="5"/>
      <c r="D191" s="5"/>
      <c r="F191" s="5"/>
      <c r="H191" s="5"/>
      <c r="I191" s="5"/>
    </row>
    <row r="192" customFormat="false" ht="15" hidden="false" customHeight="false" outlineLevel="0" collapsed="false">
      <c r="A192" s="5"/>
      <c r="B192" s="5"/>
      <c r="D192" s="5"/>
      <c r="F192" s="5"/>
      <c r="H192" s="5"/>
      <c r="I192" s="5"/>
    </row>
    <row r="193" customFormat="false" ht="15" hidden="false" customHeight="false" outlineLevel="0" collapsed="false">
      <c r="A193" s="5"/>
      <c r="B193" s="5"/>
      <c r="D193" s="5"/>
      <c r="F193" s="5"/>
      <c r="H193" s="5"/>
      <c r="I193" s="5"/>
    </row>
    <row r="194" customFormat="false" ht="15" hidden="false" customHeight="false" outlineLevel="0" collapsed="false">
      <c r="A194" s="5"/>
      <c r="B194" s="5"/>
      <c r="D194" s="5"/>
      <c r="F194" s="5"/>
      <c r="H194" s="5"/>
      <c r="I194" s="5"/>
    </row>
    <row r="195" customFormat="false" ht="15" hidden="false" customHeight="false" outlineLevel="0" collapsed="false">
      <c r="A195" s="5"/>
      <c r="B195" s="5"/>
      <c r="D195" s="5"/>
      <c r="F195" s="5"/>
      <c r="H195" s="5"/>
      <c r="I195" s="5"/>
    </row>
    <row r="196" customFormat="false" ht="15" hidden="false" customHeight="false" outlineLevel="0" collapsed="false">
      <c r="A196" s="5"/>
      <c r="B196" s="5"/>
      <c r="D196" s="5"/>
      <c r="F196" s="5"/>
      <c r="H196" s="5"/>
      <c r="I196" s="5"/>
    </row>
    <row r="197" customFormat="false" ht="15" hidden="false" customHeight="false" outlineLevel="0" collapsed="false">
      <c r="A197" s="5"/>
      <c r="B197" s="5"/>
      <c r="D197" s="5"/>
      <c r="F197" s="5"/>
      <c r="H197" s="5"/>
      <c r="I197" s="5"/>
    </row>
    <row r="198" customFormat="false" ht="15" hidden="false" customHeight="false" outlineLevel="0" collapsed="false">
      <c r="A198" s="5"/>
      <c r="B198" s="5"/>
      <c r="D198" s="5"/>
      <c r="F198" s="5"/>
      <c r="H198" s="5"/>
      <c r="I198" s="5"/>
    </row>
    <row r="199" customFormat="false" ht="15" hidden="false" customHeight="false" outlineLevel="0" collapsed="false">
      <c r="A199" s="5"/>
      <c r="B199" s="5"/>
      <c r="D199" s="5"/>
      <c r="F199" s="5"/>
      <c r="H199" s="5"/>
      <c r="I199" s="5"/>
    </row>
    <row r="200" customFormat="false" ht="15" hidden="false" customHeight="false" outlineLevel="0" collapsed="false">
      <c r="A200" s="5"/>
      <c r="B200" s="5"/>
      <c r="D200" s="5"/>
      <c r="F200" s="5"/>
      <c r="H200" s="5"/>
      <c r="I200" s="5"/>
    </row>
  </sheetData>
  <sheetProtection sheet="true" formatCells="false" formatColumns="false" formatRows="false"/>
  <mergeCells count="1">
    <mergeCell ref="A7:I7"/>
  </mergeCells>
  <dataValidations count="3">
    <dataValidation allowBlank="true" error="Valor no válido. Usa la lista." errorStyle="stop" errorTitle="❌ Valor no permitido" operator="between" prompt="Elige de la lista" promptTitle="Ciclo" showDropDown="false" showErrorMessage="true" showInputMessage="false" sqref="A2:A200" type="list">
      <formula1>Tbl_Ciclos[id ciclo]</formula1>
      <formula2>0</formula2>
    </dataValidation>
    <dataValidation allowBlank="true" error="Valor no válido. Usa la lista." errorStyle="stop" errorTitle="❌ Valor no permitido" operator="between" prompt="Elige de la lista" promptTitle="Producto" showDropDown="false" showErrorMessage="true" showInputMessage="false" sqref="B2:B200" type="list">
      <formula1>Tbl_Catalogo[producto]</formula1>
      <formula2>0</formula2>
    </dataValidation>
    <dataValidation allowBlank="true" error="Valor no válido. Usa la lista." errorStyle="stop" errorTitle="❌ Valor no permitido" operator="between" prompt="Elige de la lista" promptTitle="Selecciona una opción" showDropDown="false" showErrorMessage="true" showInputMessage="false" sqref="I2:I200" type="list">
      <formula1>"Por Comprar,Comprado"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7"/>
  </cols>
  <sheetData>
    <row r="1" customFormat="false" ht="41.75" hidden="false" customHeight="false" outlineLevel="0" collapsed="false">
      <c r="A1" s="1" t="s">
        <v>54</v>
      </c>
      <c r="B1" s="1" t="s">
        <v>1</v>
      </c>
      <c r="C1" s="1" t="s">
        <v>93</v>
      </c>
      <c r="D1" s="1" t="s">
        <v>96</v>
      </c>
      <c r="E1" s="1" t="s">
        <v>97</v>
      </c>
      <c r="F1" s="1" t="s">
        <v>98</v>
      </c>
      <c r="G1" s="1" t="s">
        <v>99</v>
      </c>
    </row>
    <row r="2" customFormat="false" ht="15" hidden="false" customHeight="false" outlineLevel="0" collapsed="false">
      <c r="A2" s="2" t="s">
        <v>45</v>
      </c>
      <c r="B2" s="2" t="s">
        <v>10</v>
      </c>
      <c r="C2" s="3" t="n">
        <f aca="false">SUMIFS(Tbl_ListaCompras[Cant. Comprada (Real)],Tbl_ListaCompras[Ciclo],A2,Tbl_ListaCompras[Producto],B2)</f>
        <v>0</v>
      </c>
      <c r="D2" s="3" t="n">
        <f aca="false">SUMIFS(Tbl_Pedidos[Cantidad],Tbl_Pedidos[Ciclo],A2,Tbl_Pedidos[Producto],B2,Tbl_Pedidos[Estado Entrega],"Entregado")</f>
        <v>0</v>
      </c>
      <c r="E2" s="3" t="n">
        <f aca="false">C2-D2</f>
        <v>0</v>
      </c>
      <c r="F2" s="7"/>
      <c r="G2" s="2"/>
    </row>
    <row r="3" customFormat="false" ht="15" hidden="false" customHeight="false" outlineLevel="0" collapsed="false">
      <c r="A3" s="2" t="s">
        <v>45</v>
      </c>
      <c r="B3" s="2" t="s">
        <v>14</v>
      </c>
      <c r="C3" s="3" t="n">
        <f aca="false">SUMIFS(Tbl_ListaCompras[Cant. Comprada (Real)],Tbl_ListaCompras[Ciclo],A3,Tbl_ListaCompras[Producto],B3)</f>
        <v>0</v>
      </c>
      <c r="D3" s="3" t="n">
        <f aca="false">SUMIFS(Tbl_Pedidos[Cantidad],Tbl_Pedidos[Ciclo],A3,Tbl_Pedidos[Producto],B3,Tbl_Pedidos[Estado Entrega],"Entregado")</f>
        <v>0</v>
      </c>
      <c r="E3" s="3" t="n">
        <f aca="false">C3-D3</f>
        <v>0</v>
      </c>
      <c r="F3" s="7"/>
      <c r="G3" s="2"/>
    </row>
    <row r="4" customFormat="false" ht="15" hidden="false" customHeight="false" outlineLevel="0" collapsed="false">
      <c r="A4" s="5"/>
      <c r="B4" s="5"/>
      <c r="F4" s="5"/>
      <c r="G4" s="5"/>
    </row>
    <row r="5" customFormat="false" ht="15" hidden="false" customHeight="false" outlineLevel="0" collapsed="false">
      <c r="A5" s="5"/>
      <c r="B5" s="5"/>
      <c r="F5" s="5"/>
      <c r="G5" s="5"/>
    </row>
    <row r="6" customFormat="false" ht="15" hidden="false" customHeight="false" outlineLevel="0" collapsed="false">
      <c r="A6" s="5"/>
      <c r="B6" s="5"/>
      <c r="F6" s="5"/>
      <c r="G6" s="5"/>
    </row>
    <row r="7" customFormat="false" ht="15" hidden="false" customHeight="false" outlineLevel="0" collapsed="false">
      <c r="A7" s="5"/>
      <c r="B7" s="5"/>
      <c r="F7" s="5"/>
      <c r="G7" s="5"/>
    </row>
    <row r="8" customFormat="false" ht="15" hidden="false" customHeight="false" outlineLevel="0" collapsed="false">
      <c r="A8" s="5"/>
      <c r="B8" s="5"/>
      <c r="F8" s="5"/>
      <c r="G8" s="5"/>
    </row>
    <row r="9" customFormat="false" ht="15" hidden="false" customHeight="false" outlineLevel="0" collapsed="false">
      <c r="A9" s="6" t="s">
        <v>100</v>
      </c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5"/>
      <c r="B10" s="5"/>
      <c r="F10" s="5"/>
      <c r="G10" s="5"/>
    </row>
    <row r="11" customFormat="false" ht="15" hidden="false" customHeight="false" outlineLevel="0" collapsed="false">
      <c r="A11" s="5"/>
      <c r="B11" s="5"/>
      <c r="F11" s="5"/>
      <c r="G11" s="5"/>
    </row>
    <row r="12" customFormat="false" ht="15" hidden="false" customHeight="false" outlineLevel="0" collapsed="false">
      <c r="A12" s="5"/>
      <c r="B12" s="5"/>
      <c r="F12" s="5"/>
      <c r="G12" s="5"/>
    </row>
    <row r="13" customFormat="false" ht="15" hidden="false" customHeight="false" outlineLevel="0" collapsed="false">
      <c r="A13" s="5"/>
      <c r="B13" s="5"/>
      <c r="F13" s="5"/>
      <c r="G13" s="5"/>
    </row>
    <row r="14" customFormat="false" ht="15" hidden="false" customHeight="false" outlineLevel="0" collapsed="false">
      <c r="A14" s="5"/>
      <c r="B14" s="5"/>
      <c r="F14" s="5"/>
      <c r="G14" s="5"/>
    </row>
    <row r="15" customFormat="false" ht="15" hidden="false" customHeight="false" outlineLevel="0" collapsed="false">
      <c r="A15" s="5"/>
      <c r="B15" s="5"/>
      <c r="F15" s="5"/>
      <c r="G15" s="5"/>
    </row>
    <row r="16" customFormat="false" ht="15" hidden="false" customHeight="false" outlineLevel="0" collapsed="false">
      <c r="A16" s="5"/>
      <c r="B16" s="5"/>
      <c r="F16" s="5"/>
      <c r="G16" s="5"/>
    </row>
    <row r="17" customFormat="false" ht="15" hidden="false" customHeight="false" outlineLevel="0" collapsed="false">
      <c r="A17" s="5"/>
      <c r="B17" s="5"/>
      <c r="F17" s="5"/>
      <c r="G17" s="5"/>
    </row>
    <row r="18" customFormat="false" ht="15" hidden="false" customHeight="false" outlineLevel="0" collapsed="false">
      <c r="A18" s="5"/>
      <c r="B18" s="5"/>
      <c r="F18" s="5"/>
      <c r="G18" s="5"/>
    </row>
    <row r="19" customFormat="false" ht="15" hidden="false" customHeight="false" outlineLevel="0" collapsed="false">
      <c r="A19" s="5"/>
      <c r="B19" s="5"/>
      <c r="F19" s="5"/>
      <c r="G19" s="5"/>
    </row>
    <row r="20" customFormat="false" ht="15" hidden="false" customHeight="false" outlineLevel="0" collapsed="false">
      <c r="A20" s="5"/>
      <c r="B20" s="5"/>
      <c r="F20" s="5"/>
      <c r="G20" s="5"/>
    </row>
    <row r="21" customFormat="false" ht="15" hidden="false" customHeight="false" outlineLevel="0" collapsed="false">
      <c r="A21" s="5"/>
      <c r="B21" s="5"/>
      <c r="F21" s="5"/>
      <c r="G21" s="5"/>
    </row>
    <row r="22" customFormat="false" ht="15" hidden="false" customHeight="false" outlineLevel="0" collapsed="false">
      <c r="A22" s="5"/>
      <c r="B22" s="5"/>
      <c r="F22" s="5"/>
      <c r="G22" s="5"/>
    </row>
    <row r="23" customFormat="false" ht="15" hidden="false" customHeight="false" outlineLevel="0" collapsed="false">
      <c r="A23" s="5"/>
      <c r="B23" s="5"/>
      <c r="F23" s="5"/>
      <c r="G23" s="5"/>
    </row>
    <row r="24" customFormat="false" ht="15" hidden="false" customHeight="false" outlineLevel="0" collapsed="false">
      <c r="A24" s="5"/>
      <c r="B24" s="5"/>
      <c r="F24" s="5"/>
      <c r="G24" s="5"/>
    </row>
    <row r="25" customFormat="false" ht="15" hidden="false" customHeight="false" outlineLevel="0" collapsed="false">
      <c r="A25" s="5"/>
      <c r="B25" s="5"/>
      <c r="F25" s="5"/>
      <c r="G25" s="5"/>
    </row>
    <row r="26" customFormat="false" ht="15" hidden="false" customHeight="false" outlineLevel="0" collapsed="false">
      <c r="A26" s="5"/>
      <c r="B26" s="5"/>
      <c r="F26" s="5"/>
      <c r="G26" s="5"/>
    </row>
    <row r="27" customFormat="false" ht="15" hidden="false" customHeight="false" outlineLevel="0" collapsed="false">
      <c r="A27" s="5"/>
      <c r="B27" s="5"/>
      <c r="F27" s="5"/>
      <c r="G27" s="5"/>
    </row>
    <row r="28" customFormat="false" ht="15" hidden="false" customHeight="false" outlineLevel="0" collapsed="false">
      <c r="A28" s="5"/>
      <c r="B28" s="5"/>
      <c r="F28" s="5"/>
      <c r="G28" s="5"/>
    </row>
    <row r="29" customFormat="false" ht="15" hidden="false" customHeight="false" outlineLevel="0" collapsed="false">
      <c r="A29" s="5"/>
      <c r="B29" s="5"/>
      <c r="F29" s="5"/>
      <c r="G29" s="5"/>
    </row>
    <row r="30" customFormat="false" ht="15" hidden="false" customHeight="false" outlineLevel="0" collapsed="false">
      <c r="A30" s="5"/>
      <c r="B30" s="5"/>
      <c r="F30" s="5"/>
      <c r="G30" s="5"/>
    </row>
    <row r="31" customFormat="false" ht="15" hidden="false" customHeight="false" outlineLevel="0" collapsed="false">
      <c r="A31" s="5"/>
      <c r="B31" s="5"/>
      <c r="F31" s="5"/>
      <c r="G31" s="5"/>
    </row>
    <row r="32" customFormat="false" ht="15" hidden="false" customHeight="false" outlineLevel="0" collapsed="false">
      <c r="A32" s="5"/>
      <c r="B32" s="5"/>
      <c r="F32" s="5"/>
      <c r="G32" s="5"/>
    </row>
    <row r="33" customFormat="false" ht="15" hidden="false" customHeight="false" outlineLevel="0" collapsed="false">
      <c r="A33" s="5"/>
      <c r="B33" s="5"/>
      <c r="F33" s="5"/>
      <c r="G33" s="5"/>
    </row>
    <row r="34" customFormat="false" ht="15" hidden="false" customHeight="false" outlineLevel="0" collapsed="false">
      <c r="A34" s="5"/>
      <c r="B34" s="5"/>
      <c r="F34" s="5"/>
      <c r="G34" s="5"/>
    </row>
    <row r="35" customFormat="false" ht="15" hidden="false" customHeight="false" outlineLevel="0" collapsed="false">
      <c r="A35" s="5"/>
      <c r="B35" s="5"/>
      <c r="F35" s="5"/>
      <c r="G35" s="5"/>
    </row>
    <row r="36" customFormat="false" ht="15" hidden="false" customHeight="false" outlineLevel="0" collapsed="false">
      <c r="A36" s="5"/>
      <c r="B36" s="5"/>
      <c r="F36" s="5"/>
      <c r="G36" s="5"/>
    </row>
    <row r="37" customFormat="false" ht="15" hidden="false" customHeight="false" outlineLevel="0" collapsed="false">
      <c r="A37" s="5"/>
      <c r="B37" s="5"/>
      <c r="F37" s="5"/>
      <c r="G37" s="5"/>
    </row>
    <row r="38" customFormat="false" ht="15" hidden="false" customHeight="false" outlineLevel="0" collapsed="false">
      <c r="A38" s="5"/>
      <c r="B38" s="5"/>
      <c r="F38" s="5"/>
      <c r="G38" s="5"/>
    </row>
    <row r="39" customFormat="false" ht="15" hidden="false" customHeight="false" outlineLevel="0" collapsed="false">
      <c r="A39" s="5"/>
      <c r="B39" s="5"/>
      <c r="F39" s="5"/>
      <c r="G39" s="5"/>
    </row>
    <row r="40" customFormat="false" ht="15" hidden="false" customHeight="false" outlineLevel="0" collapsed="false">
      <c r="A40" s="5"/>
      <c r="B40" s="5"/>
      <c r="F40" s="5"/>
      <c r="G40" s="5"/>
    </row>
    <row r="41" customFormat="false" ht="15" hidden="false" customHeight="false" outlineLevel="0" collapsed="false">
      <c r="A41" s="5"/>
      <c r="B41" s="5"/>
      <c r="F41" s="5"/>
      <c r="G41" s="5"/>
    </row>
    <row r="42" customFormat="false" ht="15" hidden="false" customHeight="false" outlineLevel="0" collapsed="false">
      <c r="A42" s="5"/>
      <c r="B42" s="5"/>
      <c r="F42" s="5"/>
      <c r="G42" s="5"/>
    </row>
    <row r="43" customFormat="false" ht="15" hidden="false" customHeight="false" outlineLevel="0" collapsed="false">
      <c r="A43" s="5"/>
      <c r="B43" s="5"/>
      <c r="F43" s="5"/>
      <c r="G43" s="5"/>
    </row>
    <row r="44" customFormat="false" ht="15" hidden="false" customHeight="false" outlineLevel="0" collapsed="false">
      <c r="A44" s="5"/>
      <c r="B44" s="5"/>
      <c r="F44" s="5"/>
      <c r="G44" s="5"/>
    </row>
    <row r="45" customFormat="false" ht="15" hidden="false" customHeight="false" outlineLevel="0" collapsed="false">
      <c r="A45" s="5"/>
      <c r="B45" s="5"/>
      <c r="F45" s="5"/>
      <c r="G45" s="5"/>
    </row>
    <row r="46" customFormat="false" ht="15" hidden="false" customHeight="false" outlineLevel="0" collapsed="false">
      <c r="A46" s="5"/>
      <c r="B46" s="5"/>
      <c r="F46" s="5"/>
      <c r="G46" s="5"/>
    </row>
    <row r="47" customFormat="false" ht="15" hidden="false" customHeight="false" outlineLevel="0" collapsed="false">
      <c r="A47" s="5"/>
      <c r="B47" s="5"/>
      <c r="F47" s="5"/>
      <c r="G47" s="5"/>
    </row>
    <row r="48" customFormat="false" ht="15" hidden="false" customHeight="false" outlineLevel="0" collapsed="false">
      <c r="A48" s="5"/>
      <c r="B48" s="5"/>
      <c r="F48" s="5"/>
      <c r="G48" s="5"/>
    </row>
    <row r="49" customFormat="false" ht="15" hidden="false" customHeight="false" outlineLevel="0" collapsed="false">
      <c r="A49" s="5"/>
      <c r="B49" s="5"/>
      <c r="F49" s="5"/>
      <c r="G49" s="5"/>
    </row>
    <row r="50" customFormat="false" ht="15" hidden="false" customHeight="false" outlineLevel="0" collapsed="false">
      <c r="A50" s="5"/>
      <c r="B50" s="5"/>
      <c r="F50" s="5"/>
      <c r="G50" s="5"/>
    </row>
    <row r="51" customFormat="false" ht="15" hidden="false" customHeight="false" outlineLevel="0" collapsed="false">
      <c r="A51" s="5"/>
      <c r="B51" s="5"/>
      <c r="F51" s="5"/>
      <c r="G51" s="5"/>
    </row>
    <row r="52" customFormat="false" ht="15" hidden="false" customHeight="false" outlineLevel="0" collapsed="false">
      <c r="A52" s="5"/>
      <c r="B52" s="5"/>
      <c r="F52" s="5"/>
      <c r="G52" s="5"/>
    </row>
    <row r="53" customFormat="false" ht="15" hidden="false" customHeight="false" outlineLevel="0" collapsed="false">
      <c r="A53" s="5"/>
      <c r="B53" s="5"/>
      <c r="F53" s="5"/>
      <c r="G53" s="5"/>
    </row>
    <row r="54" customFormat="false" ht="15" hidden="false" customHeight="false" outlineLevel="0" collapsed="false">
      <c r="A54" s="5"/>
      <c r="B54" s="5"/>
      <c r="F54" s="5"/>
      <c r="G54" s="5"/>
    </row>
    <row r="55" customFormat="false" ht="15" hidden="false" customHeight="false" outlineLevel="0" collapsed="false">
      <c r="A55" s="5"/>
      <c r="B55" s="5"/>
      <c r="F55" s="5"/>
      <c r="G55" s="5"/>
    </row>
    <row r="56" customFormat="false" ht="15" hidden="false" customHeight="false" outlineLevel="0" collapsed="false">
      <c r="A56" s="5"/>
      <c r="B56" s="5"/>
      <c r="F56" s="5"/>
      <c r="G56" s="5"/>
    </row>
    <row r="57" customFormat="false" ht="15" hidden="false" customHeight="false" outlineLevel="0" collapsed="false">
      <c r="A57" s="5"/>
      <c r="B57" s="5"/>
      <c r="F57" s="5"/>
      <c r="G57" s="5"/>
    </row>
    <row r="58" customFormat="false" ht="15" hidden="false" customHeight="false" outlineLevel="0" collapsed="false">
      <c r="A58" s="5"/>
      <c r="B58" s="5"/>
      <c r="F58" s="5"/>
      <c r="G58" s="5"/>
    </row>
    <row r="59" customFormat="false" ht="15" hidden="false" customHeight="false" outlineLevel="0" collapsed="false">
      <c r="A59" s="5"/>
      <c r="B59" s="5"/>
      <c r="F59" s="5"/>
      <c r="G59" s="5"/>
    </row>
    <row r="60" customFormat="false" ht="15" hidden="false" customHeight="false" outlineLevel="0" collapsed="false">
      <c r="A60" s="5"/>
      <c r="B60" s="5"/>
      <c r="F60" s="5"/>
      <c r="G60" s="5"/>
    </row>
    <row r="61" customFormat="false" ht="15" hidden="false" customHeight="false" outlineLevel="0" collapsed="false">
      <c r="A61" s="5"/>
      <c r="B61" s="5"/>
      <c r="F61" s="5"/>
      <c r="G61" s="5"/>
    </row>
    <row r="62" customFormat="false" ht="15" hidden="false" customHeight="false" outlineLevel="0" collapsed="false">
      <c r="A62" s="5"/>
      <c r="B62" s="5"/>
      <c r="F62" s="5"/>
      <c r="G62" s="5"/>
    </row>
    <row r="63" customFormat="false" ht="15" hidden="false" customHeight="false" outlineLevel="0" collapsed="false">
      <c r="A63" s="5"/>
      <c r="B63" s="5"/>
      <c r="F63" s="5"/>
      <c r="G63" s="5"/>
    </row>
    <row r="64" customFormat="false" ht="15" hidden="false" customHeight="false" outlineLevel="0" collapsed="false">
      <c r="A64" s="5"/>
      <c r="B64" s="5"/>
      <c r="F64" s="5"/>
      <c r="G64" s="5"/>
    </row>
    <row r="65" customFormat="false" ht="15" hidden="false" customHeight="false" outlineLevel="0" collapsed="false">
      <c r="A65" s="5"/>
      <c r="B65" s="5"/>
      <c r="F65" s="5"/>
      <c r="G65" s="5"/>
    </row>
    <row r="66" customFormat="false" ht="15" hidden="false" customHeight="false" outlineLevel="0" collapsed="false">
      <c r="A66" s="5"/>
      <c r="B66" s="5"/>
      <c r="F66" s="5"/>
      <c r="G66" s="5"/>
    </row>
    <row r="67" customFormat="false" ht="15" hidden="false" customHeight="false" outlineLevel="0" collapsed="false">
      <c r="A67" s="5"/>
      <c r="B67" s="5"/>
      <c r="F67" s="5"/>
      <c r="G67" s="5"/>
    </row>
    <row r="68" customFormat="false" ht="15" hidden="false" customHeight="false" outlineLevel="0" collapsed="false">
      <c r="A68" s="5"/>
      <c r="B68" s="5"/>
      <c r="F68" s="5"/>
      <c r="G68" s="5"/>
    </row>
    <row r="69" customFormat="false" ht="15" hidden="false" customHeight="false" outlineLevel="0" collapsed="false">
      <c r="A69" s="5"/>
      <c r="B69" s="5"/>
      <c r="F69" s="5"/>
      <c r="G69" s="5"/>
    </row>
    <row r="70" customFormat="false" ht="15" hidden="false" customHeight="false" outlineLevel="0" collapsed="false">
      <c r="A70" s="5"/>
      <c r="B70" s="5"/>
      <c r="F70" s="5"/>
      <c r="G70" s="5"/>
    </row>
    <row r="71" customFormat="false" ht="15" hidden="false" customHeight="false" outlineLevel="0" collapsed="false">
      <c r="A71" s="5"/>
      <c r="B71" s="5"/>
      <c r="F71" s="5"/>
      <c r="G71" s="5"/>
    </row>
    <row r="72" customFormat="false" ht="15" hidden="false" customHeight="false" outlineLevel="0" collapsed="false">
      <c r="A72" s="5"/>
      <c r="B72" s="5"/>
      <c r="F72" s="5"/>
      <c r="G72" s="5"/>
    </row>
    <row r="73" customFormat="false" ht="15" hidden="false" customHeight="false" outlineLevel="0" collapsed="false">
      <c r="A73" s="5"/>
      <c r="B73" s="5"/>
      <c r="F73" s="5"/>
      <c r="G73" s="5"/>
    </row>
    <row r="74" customFormat="false" ht="15" hidden="false" customHeight="false" outlineLevel="0" collapsed="false">
      <c r="A74" s="5"/>
      <c r="B74" s="5"/>
      <c r="F74" s="5"/>
      <c r="G74" s="5"/>
    </row>
    <row r="75" customFormat="false" ht="15" hidden="false" customHeight="false" outlineLevel="0" collapsed="false">
      <c r="A75" s="5"/>
      <c r="B75" s="5"/>
      <c r="F75" s="5"/>
      <c r="G75" s="5"/>
    </row>
    <row r="76" customFormat="false" ht="15" hidden="false" customHeight="false" outlineLevel="0" collapsed="false">
      <c r="A76" s="5"/>
      <c r="B76" s="5"/>
      <c r="F76" s="5"/>
      <c r="G76" s="5"/>
    </row>
    <row r="77" customFormat="false" ht="15" hidden="false" customHeight="false" outlineLevel="0" collapsed="false">
      <c r="A77" s="5"/>
      <c r="B77" s="5"/>
      <c r="F77" s="5"/>
      <c r="G77" s="5"/>
    </row>
    <row r="78" customFormat="false" ht="15" hidden="false" customHeight="false" outlineLevel="0" collapsed="false">
      <c r="A78" s="5"/>
      <c r="B78" s="5"/>
      <c r="F78" s="5"/>
      <c r="G78" s="5"/>
    </row>
    <row r="79" customFormat="false" ht="15" hidden="false" customHeight="false" outlineLevel="0" collapsed="false">
      <c r="A79" s="5"/>
      <c r="B79" s="5"/>
      <c r="F79" s="5"/>
      <c r="G79" s="5"/>
    </row>
    <row r="80" customFormat="false" ht="15" hidden="false" customHeight="false" outlineLevel="0" collapsed="false">
      <c r="A80" s="5"/>
      <c r="B80" s="5"/>
      <c r="F80" s="5"/>
      <c r="G80" s="5"/>
    </row>
    <row r="81" customFormat="false" ht="15" hidden="false" customHeight="false" outlineLevel="0" collapsed="false">
      <c r="A81" s="5"/>
      <c r="B81" s="5"/>
      <c r="F81" s="5"/>
      <c r="G81" s="5"/>
    </row>
    <row r="82" customFormat="false" ht="15" hidden="false" customHeight="false" outlineLevel="0" collapsed="false">
      <c r="A82" s="5"/>
      <c r="B82" s="5"/>
      <c r="F82" s="5"/>
      <c r="G82" s="5"/>
    </row>
    <row r="83" customFormat="false" ht="15" hidden="false" customHeight="false" outlineLevel="0" collapsed="false">
      <c r="A83" s="5"/>
      <c r="B83" s="5"/>
      <c r="F83" s="5"/>
      <c r="G83" s="5"/>
    </row>
    <row r="84" customFormat="false" ht="15" hidden="false" customHeight="false" outlineLevel="0" collapsed="false">
      <c r="A84" s="5"/>
      <c r="B84" s="5"/>
      <c r="F84" s="5"/>
      <c r="G84" s="5"/>
    </row>
    <row r="85" customFormat="false" ht="15" hidden="false" customHeight="false" outlineLevel="0" collapsed="false">
      <c r="A85" s="5"/>
      <c r="B85" s="5"/>
      <c r="F85" s="5"/>
      <c r="G85" s="5"/>
    </row>
    <row r="86" customFormat="false" ht="15" hidden="false" customHeight="false" outlineLevel="0" collapsed="false">
      <c r="A86" s="5"/>
      <c r="B86" s="5"/>
      <c r="F86" s="5"/>
      <c r="G86" s="5"/>
    </row>
    <row r="87" customFormat="false" ht="15" hidden="false" customHeight="false" outlineLevel="0" collapsed="false">
      <c r="A87" s="5"/>
      <c r="B87" s="5"/>
      <c r="F87" s="5"/>
      <c r="G87" s="5"/>
    </row>
    <row r="88" customFormat="false" ht="15" hidden="false" customHeight="false" outlineLevel="0" collapsed="false">
      <c r="A88" s="5"/>
      <c r="B88" s="5"/>
      <c r="F88" s="5"/>
      <c r="G88" s="5"/>
    </row>
    <row r="89" customFormat="false" ht="15" hidden="false" customHeight="false" outlineLevel="0" collapsed="false">
      <c r="A89" s="5"/>
      <c r="B89" s="5"/>
      <c r="F89" s="5"/>
      <c r="G89" s="5"/>
    </row>
    <row r="90" customFormat="false" ht="15" hidden="false" customHeight="false" outlineLevel="0" collapsed="false">
      <c r="A90" s="5"/>
      <c r="B90" s="5"/>
      <c r="F90" s="5"/>
      <c r="G90" s="5"/>
    </row>
    <row r="91" customFormat="false" ht="15" hidden="false" customHeight="false" outlineLevel="0" collapsed="false">
      <c r="A91" s="5"/>
      <c r="B91" s="5"/>
      <c r="F91" s="5"/>
      <c r="G91" s="5"/>
    </row>
    <row r="92" customFormat="false" ht="15" hidden="false" customHeight="false" outlineLevel="0" collapsed="false">
      <c r="A92" s="5"/>
      <c r="B92" s="5"/>
      <c r="F92" s="5"/>
      <c r="G92" s="5"/>
    </row>
    <row r="93" customFormat="false" ht="15" hidden="false" customHeight="false" outlineLevel="0" collapsed="false">
      <c r="A93" s="5"/>
      <c r="B93" s="5"/>
      <c r="F93" s="5"/>
      <c r="G93" s="5"/>
    </row>
    <row r="94" customFormat="false" ht="15" hidden="false" customHeight="false" outlineLevel="0" collapsed="false">
      <c r="A94" s="5"/>
      <c r="B94" s="5"/>
      <c r="F94" s="5"/>
      <c r="G94" s="5"/>
    </row>
    <row r="95" customFormat="false" ht="15" hidden="false" customHeight="false" outlineLevel="0" collapsed="false">
      <c r="A95" s="5"/>
      <c r="B95" s="5"/>
      <c r="F95" s="5"/>
      <c r="G95" s="5"/>
    </row>
    <row r="96" customFormat="false" ht="15" hidden="false" customHeight="false" outlineLevel="0" collapsed="false">
      <c r="A96" s="5"/>
      <c r="B96" s="5"/>
      <c r="F96" s="5"/>
      <c r="G96" s="5"/>
    </row>
    <row r="97" customFormat="false" ht="15" hidden="false" customHeight="false" outlineLevel="0" collapsed="false">
      <c r="A97" s="5"/>
      <c r="B97" s="5"/>
      <c r="F97" s="5"/>
      <c r="G97" s="5"/>
    </row>
    <row r="98" customFormat="false" ht="15" hidden="false" customHeight="false" outlineLevel="0" collapsed="false">
      <c r="A98" s="5"/>
      <c r="B98" s="5"/>
      <c r="F98" s="5"/>
      <c r="G98" s="5"/>
    </row>
    <row r="99" customFormat="false" ht="15" hidden="false" customHeight="false" outlineLevel="0" collapsed="false">
      <c r="A99" s="5"/>
      <c r="B99" s="5"/>
      <c r="F99" s="5"/>
      <c r="G99" s="5"/>
    </row>
    <row r="100" customFormat="false" ht="15" hidden="false" customHeight="false" outlineLevel="0" collapsed="false">
      <c r="A100" s="5"/>
      <c r="B100" s="5"/>
      <c r="F100" s="5"/>
      <c r="G100" s="5"/>
    </row>
    <row r="101" customFormat="false" ht="15" hidden="false" customHeight="false" outlineLevel="0" collapsed="false">
      <c r="A101" s="5"/>
      <c r="B101" s="5"/>
      <c r="F101" s="5"/>
      <c r="G101" s="5"/>
    </row>
    <row r="102" customFormat="false" ht="15" hidden="false" customHeight="false" outlineLevel="0" collapsed="false">
      <c r="A102" s="5"/>
      <c r="B102" s="5"/>
      <c r="F102" s="5"/>
      <c r="G102" s="5"/>
    </row>
    <row r="103" customFormat="false" ht="15" hidden="false" customHeight="false" outlineLevel="0" collapsed="false">
      <c r="A103" s="5"/>
      <c r="B103" s="5"/>
      <c r="F103" s="5"/>
      <c r="G103" s="5"/>
    </row>
    <row r="104" customFormat="false" ht="15" hidden="false" customHeight="false" outlineLevel="0" collapsed="false">
      <c r="A104" s="5"/>
      <c r="B104" s="5"/>
      <c r="F104" s="5"/>
      <c r="G104" s="5"/>
    </row>
    <row r="105" customFormat="false" ht="15" hidden="false" customHeight="false" outlineLevel="0" collapsed="false">
      <c r="A105" s="5"/>
      <c r="B105" s="5"/>
      <c r="F105" s="5"/>
      <c r="G105" s="5"/>
    </row>
    <row r="106" customFormat="false" ht="15" hidden="false" customHeight="false" outlineLevel="0" collapsed="false">
      <c r="A106" s="5"/>
      <c r="B106" s="5"/>
      <c r="F106" s="5"/>
      <c r="G106" s="5"/>
    </row>
    <row r="107" customFormat="false" ht="15" hidden="false" customHeight="false" outlineLevel="0" collapsed="false">
      <c r="A107" s="5"/>
      <c r="B107" s="5"/>
      <c r="F107" s="5"/>
      <c r="G107" s="5"/>
    </row>
    <row r="108" customFormat="false" ht="15" hidden="false" customHeight="false" outlineLevel="0" collapsed="false">
      <c r="A108" s="5"/>
      <c r="B108" s="5"/>
      <c r="F108" s="5"/>
      <c r="G108" s="5"/>
    </row>
    <row r="109" customFormat="false" ht="15" hidden="false" customHeight="false" outlineLevel="0" collapsed="false">
      <c r="A109" s="5"/>
      <c r="B109" s="5"/>
      <c r="F109" s="5"/>
      <c r="G109" s="5"/>
    </row>
    <row r="110" customFormat="false" ht="15" hidden="false" customHeight="false" outlineLevel="0" collapsed="false">
      <c r="A110" s="5"/>
      <c r="B110" s="5"/>
      <c r="F110" s="5"/>
      <c r="G110" s="5"/>
    </row>
    <row r="111" customFormat="false" ht="15" hidden="false" customHeight="false" outlineLevel="0" collapsed="false">
      <c r="A111" s="5"/>
      <c r="B111" s="5"/>
      <c r="F111" s="5"/>
      <c r="G111" s="5"/>
    </row>
    <row r="112" customFormat="false" ht="15" hidden="false" customHeight="false" outlineLevel="0" collapsed="false">
      <c r="A112" s="5"/>
      <c r="B112" s="5"/>
      <c r="F112" s="5"/>
      <c r="G112" s="5"/>
    </row>
    <row r="113" customFormat="false" ht="15" hidden="false" customHeight="false" outlineLevel="0" collapsed="false">
      <c r="A113" s="5"/>
      <c r="B113" s="5"/>
      <c r="F113" s="5"/>
      <c r="G113" s="5"/>
    </row>
    <row r="114" customFormat="false" ht="15" hidden="false" customHeight="false" outlineLevel="0" collapsed="false">
      <c r="A114" s="5"/>
      <c r="B114" s="5"/>
      <c r="F114" s="5"/>
      <c r="G114" s="5"/>
    </row>
    <row r="115" customFormat="false" ht="15" hidden="false" customHeight="false" outlineLevel="0" collapsed="false">
      <c r="A115" s="5"/>
      <c r="B115" s="5"/>
      <c r="F115" s="5"/>
      <c r="G115" s="5"/>
    </row>
    <row r="116" customFormat="false" ht="15" hidden="false" customHeight="false" outlineLevel="0" collapsed="false">
      <c r="A116" s="5"/>
      <c r="B116" s="5"/>
      <c r="F116" s="5"/>
      <c r="G116" s="5"/>
    </row>
    <row r="117" customFormat="false" ht="15" hidden="false" customHeight="false" outlineLevel="0" collapsed="false">
      <c r="A117" s="5"/>
      <c r="B117" s="5"/>
      <c r="F117" s="5"/>
      <c r="G117" s="5"/>
    </row>
    <row r="118" customFormat="false" ht="15" hidden="false" customHeight="false" outlineLevel="0" collapsed="false">
      <c r="A118" s="5"/>
      <c r="B118" s="5"/>
      <c r="F118" s="5"/>
      <c r="G118" s="5"/>
    </row>
    <row r="119" customFormat="false" ht="15" hidden="false" customHeight="false" outlineLevel="0" collapsed="false">
      <c r="A119" s="5"/>
      <c r="B119" s="5"/>
      <c r="F119" s="5"/>
      <c r="G119" s="5"/>
    </row>
    <row r="120" customFormat="false" ht="15" hidden="false" customHeight="false" outlineLevel="0" collapsed="false">
      <c r="A120" s="5"/>
      <c r="B120" s="5"/>
      <c r="F120" s="5"/>
      <c r="G120" s="5"/>
    </row>
    <row r="121" customFormat="false" ht="15" hidden="false" customHeight="false" outlineLevel="0" collapsed="false">
      <c r="A121" s="5"/>
      <c r="B121" s="5"/>
      <c r="F121" s="5"/>
      <c r="G121" s="5"/>
    </row>
    <row r="122" customFormat="false" ht="15" hidden="false" customHeight="false" outlineLevel="0" collapsed="false">
      <c r="A122" s="5"/>
      <c r="B122" s="5"/>
      <c r="F122" s="5"/>
      <c r="G122" s="5"/>
    </row>
    <row r="123" customFormat="false" ht="15" hidden="false" customHeight="false" outlineLevel="0" collapsed="false">
      <c r="A123" s="5"/>
      <c r="B123" s="5"/>
      <c r="F123" s="5"/>
      <c r="G123" s="5"/>
    </row>
    <row r="124" customFormat="false" ht="15" hidden="false" customHeight="false" outlineLevel="0" collapsed="false">
      <c r="A124" s="5"/>
      <c r="B124" s="5"/>
      <c r="F124" s="5"/>
      <c r="G124" s="5"/>
    </row>
    <row r="125" customFormat="false" ht="15" hidden="false" customHeight="false" outlineLevel="0" collapsed="false">
      <c r="A125" s="5"/>
      <c r="B125" s="5"/>
      <c r="F125" s="5"/>
      <c r="G125" s="5"/>
    </row>
    <row r="126" customFormat="false" ht="15" hidden="false" customHeight="false" outlineLevel="0" collapsed="false">
      <c r="A126" s="5"/>
      <c r="B126" s="5"/>
      <c r="F126" s="5"/>
      <c r="G126" s="5"/>
    </row>
    <row r="127" customFormat="false" ht="15" hidden="false" customHeight="false" outlineLevel="0" collapsed="false">
      <c r="A127" s="5"/>
      <c r="B127" s="5"/>
      <c r="F127" s="5"/>
      <c r="G127" s="5"/>
    </row>
    <row r="128" customFormat="false" ht="15" hidden="false" customHeight="false" outlineLevel="0" collapsed="false">
      <c r="A128" s="5"/>
      <c r="B128" s="5"/>
      <c r="F128" s="5"/>
      <c r="G128" s="5"/>
    </row>
    <row r="129" customFormat="false" ht="15" hidden="false" customHeight="false" outlineLevel="0" collapsed="false">
      <c r="A129" s="5"/>
      <c r="B129" s="5"/>
      <c r="F129" s="5"/>
      <c r="G129" s="5"/>
    </row>
    <row r="130" customFormat="false" ht="15" hidden="false" customHeight="false" outlineLevel="0" collapsed="false">
      <c r="A130" s="5"/>
      <c r="B130" s="5"/>
      <c r="F130" s="5"/>
      <c r="G130" s="5"/>
    </row>
    <row r="131" customFormat="false" ht="15" hidden="false" customHeight="false" outlineLevel="0" collapsed="false">
      <c r="A131" s="5"/>
      <c r="B131" s="5"/>
      <c r="F131" s="5"/>
      <c r="G131" s="5"/>
    </row>
    <row r="132" customFormat="false" ht="15" hidden="false" customHeight="false" outlineLevel="0" collapsed="false">
      <c r="A132" s="5"/>
      <c r="B132" s="5"/>
      <c r="F132" s="5"/>
      <c r="G132" s="5"/>
    </row>
    <row r="133" customFormat="false" ht="15" hidden="false" customHeight="false" outlineLevel="0" collapsed="false">
      <c r="A133" s="5"/>
      <c r="B133" s="5"/>
      <c r="F133" s="5"/>
      <c r="G133" s="5"/>
    </row>
    <row r="134" customFormat="false" ht="15" hidden="false" customHeight="false" outlineLevel="0" collapsed="false">
      <c r="A134" s="5"/>
      <c r="B134" s="5"/>
      <c r="F134" s="5"/>
      <c r="G134" s="5"/>
    </row>
    <row r="135" customFormat="false" ht="15" hidden="false" customHeight="false" outlineLevel="0" collapsed="false">
      <c r="A135" s="5"/>
      <c r="B135" s="5"/>
      <c r="F135" s="5"/>
      <c r="G135" s="5"/>
    </row>
    <row r="136" customFormat="false" ht="15" hidden="false" customHeight="false" outlineLevel="0" collapsed="false">
      <c r="A136" s="5"/>
      <c r="B136" s="5"/>
      <c r="F136" s="5"/>
      <c r="G136" s="5"/>
    </row>
    <row r="137" customFormat="false" ht="15" hidden="false" customHeight="false" outlineLevel="0" collapsed="false">
      <c r="A137" s="5"/>
      <c r="B137" s="5"/>
      <c r="F137" s="5"/>
      <c r="G137" s="5"/>
    </row>
    <row r="138" customFormat="false" ht="15" hidden="false" customHeight="false" outlineLevel="0" collapsed="false">
      <c r="A138" s="5"/>
      <c r="B138" s="5"/>
      <c r="F138" s="5"/>
      <c r="G138" s="5"/>
    </row>
    <row r="139" customFormat="false" ht="15" hidden="false" customHeight="false" outlineLevel="0" collapsed="false">
      <c r="A139" s="5"/>
      <c r="B139" s="5"/>
      <c r="F139" s="5"/>
      <c r="G139" s="5"/>
    </row>
    <row r="140" customFormat="false" ht="15" hidden="false" customHeight="false" outlineLevel="0" collapsed="false">
      <c r="A140" s="5"/>
      <c r="B140" s="5"/>
      <c r="F140" s="5"/>
      <c r="G140" s="5"/>
    </row>
    <row r="141" customFormat="false" ht="15" hidden="false" customHeight="false" outlineLevel="0" collapsed="false">
      <c r="A141" s="5"/>
      <c r="B141" s="5"/>
      <c r="F141" s="5"/>
      <c r="G141" s="5"/>
    </row>
    <row r="142" customFormat="false" ht="15" hidden="false" customHeight="false" outlineLevel="0" collapsed="false">
      <c r="A142" s="5"/>
      <c r="B142" s="5"/>
      <c r="F142" s="5"/>
      <c r="G142" s="5"/>
    </row>
    <row r="143" customFormat="false" ht="15" hidden="false" customHeight="false" outlineLevel="0" collapsed="false">
      <c r="A143" s="5"/>
      <c r="B143" s="5"/>
      <c r="F143" s="5"/>
      <c r="G143" s="5"/>
    </row>
    <row r="144" customFormat="false" ht="15" hidden="false" customHeight="false" outlineLevel="0" collapsed="false">
      <c r="A144" s="5"/>
      <c r="B144" s="5"/>
      <c r="F144" s="5"/>
      <c r="G144" s="5"/>
    </row>
    <row r="145" customFormat="false" ht="15" hidden="false" customHeight="false" outlineLevel="0" collapsed="false">
      <c r="A145" s="5"/>
      <c r="B145" s="5"/>
      <c r="F145" s="5"/>
      <c r="G145" s="5"/>
    </row>
    <row r="146" customFormat="false" ht="15" hidden="false" customHeight="false" outlineLevel="0" collapsed="false">
      <c r="A146" s="5"/>
      <c r="B146" s="5"/>
      <c r="F146" s="5"/>
      <c r="G146" s="5"/>
    </row>
    <row r="147" customFormat="false" ht="15" hidden="false" customHeight="false" outlineLevel="0" collapsed="false">
      <c r="A147" s="5"/>
      <c r="B147" s="5"/>
      <c r="F147" s="5"/>
      <c r="G147" s="5"/>
    </row>
    <row r="148" customFormat="false" ht="15" hidden="false" customHeight="false" outlineLevel="0" collapsed="false">
      <c r="A148" s="5"/>
      <c r="B148" s="5"/>
      <c r="F148" s="5"/>
      <c r="G148" s="5"/>
    </row>
    <row r="149" customFormat="false" ht="15" hidden="false" customHeight="false" outlineLevel="0" collapsed="false">
      <c r="A149" s="5"/>
      <c r="B149" s="5"/>
      <c r="F149" s="5"/>
      <c r="G149" s="5"/>
    </row>
    <row r="150" customFormat="false" ht="15" hidden="false" customHeight="false" outlineLevel="0" collapsed="false">
      <c r="A150" s="5"/>
      <c r="B150" s="5"/>
      <c r="F150" s="5"/>
      <c r="G150" s="5"/>
    </row>
    <row r="151" customFormat="false" ht="15" hidden="false" customHeight="false" outlineLevel="0" collapsed="false">
      <c r="A151" s="5"/>
      <c r="B151" s="5"/>
      <c r="F151" s="5"/>
      <c r="G151" s="5"/>
    </row>
    <row r="152" customFormat="false" ht="15" hidden="false" customHeight="false" outlineLevel="0" collapsed="false">
      <c r="A152" s="5"/>
      <c r="B152" s="5"/>
      <c r="F152" s="5"/>
      <c r="G152" s="5"/>
    </row>
    <row r="153" customFormat="false" ht="15" hidden="false" customHeight="false" outlineLevel="0" collapsed="false">
      <c r="A153" s="5"/>
      <c r="B153" s="5"/>
      <c r="F153" s="5"/>
      <c r="G153" s="5"/>
    </row>
    <row r="154" customFormat="false" ht="15" hidden="false" customHeight="false" outlineLevel="0" collapsed="false">
      <c r="A154" s="5"/>
      <c r="B154" s="5"/>
      <c r="F154" s="5"/>
      <c r="G154" s="5"/>
    </row>
    <row r="155" customFormat="false" ht="15" hidden="false" customHeight="false" outlineLevel="0" collapsed="false">
      <c r="A155" s="5"/>
      <c r="B155" s="5"/>
      <c r="F155" s="5"/>
      <c r="G155" s="5"/>
    </row>
    <row r="156" customFormat="false" ht="15" hidden="false" customHeight="false" outlineLevel="0" collapsed="false">
      <c r="A156" s="5"/>
      <c r="B156" s="5"/>
      <c r="F156" s="5"/>
      <c r="G156" s="5"/>
    </row>
    <row r="157" customFormat="false" ht="15" hidden="false" customHeight="false" outlineLevel="0" collapsed="false">
      <c r="A157" s="5"/>
      <c r="B157" s="5"/>
      <c r="F157" s="5"/>
      <c r="G157" s="5"/>
    </row>
    <row r="158" customFormat="false" ht="15" hidden="false" customHeight="false" outlineLevel="0" collapsed="false">
      <c r="A158" s="5"/>
      <c r="B158" s="5"/>
      <c r="F158" s="5"/>
      <c r="G158" s="5"/>
    </row>
    <row r="159" customFormat="false" ht="15" hidden="false" customHeight="false" outlineLevel="0" collapsed="false">
      <c r="A159" s="5"/>
      <c r="B159" s="5"/>
      <c r="F159" s="5"/>
      <c r="G159" s="5"/>
    </row>
    <row r="160" customFormat="false" ht="15" hidden="false" customHeight="false" outlineLevel="0" collapsed="false">
      <c r="A160" s="5"/>
      <c r="B160" s="5"/>
      <c r="F160" s="5"/>
      <c r="G160" s="5"/>
    </row>
    <row r="161" customFormat="false" ht="15" hidden="false" customHeight="false" outlineLevel="0" collapsed="false">
      <c r="A161" s="5"/>
      <c r="B161" s="5"/>
      <c r="F161" s="5"/>
      <c r="G161" s="5"/>
    </row>
    <row r="162" customFormat="false" ht="15" hidden="false" customHeight="false" outlineLevel="0" collapsed="false">
      <c r="A162" s="5"/>
      <c r="B162" s="5"/>
      <c r="F162" s="5"/>
      <c r="G162" s="5"/>
    </row>
    <row r="163" customFormat="false" ht="15" hidden="false" customHeight="false" outlineLevel="0" collapsed="false">
      <c r="A163" s="5"/>
      <c r="B163" s="5"/>
      <c r="F163" s="5"/>
      <c r="G163" s="5"/>
    </row>
    <row r="164" customFormat="false" ht="15" hidden="false" customHeight="false" outlineLevel="0" collapsed="false">
      <c r="A164" s="5"/>
      <c r="B164" s="5"/>
      <c r="F164" s="5"/>
      <c r="G164" s="5"/>
    </row>
    <row r="165" customFormat="false" ht="15" hidden="false" customHeight="false" outlineLevel="0" collapsed="false">
      <c r="A165" s="5"/>
      <c r="B165" s="5"/>
      <c r="F165" s="5"/>
      <c r="G165" s="5"/>
    </row>
    <row r="166" customFormat="false" ht="15" hidden="false" customHeight="false" outlineLevel="0" collapsed="false">
      <c r="A166" s="5"/>
      <c r="B166" s="5"/>
      <c r="F166" s="5"/>
      <c r="G166" s="5"/>
    </row>
    <row r="167" customFormat="false" ht="15" hidden="false" customHeight="false" outlineLevel="0" collapsed="false">
      <c r="A167" s="5"/>
      <c r="B167" s="5"/>
      <c r="F167" s="5"/>
      <c r="G167" s="5"/>
    </row>
    <row r="168" customFormat="false" ht="15" hidden="false" customHeight="false" outlineLevel="0" collapsed="false">
      <c r="A168" s="5"/>
      <c r="B168" s="5"/>
      <c r="F168" s="5"/>
      <c r="G168" s="5"/>
    </row>
    <row r="169" customFormat="false" ht="15" hidden="false" customHeight="false" outlineLevel="0" collapsed="false">
      <c r="A169" s="5"/>
      <c r="B169" s="5"/>
      <c r="F169" s="5"/>
      <c r="G169" s="5"/>
    </row>
    <row r="170" customFormat="false" ht="15" hidden="false" customHeight="false" outlineLevel="0" collapsed="false">
      <c r="A170" s="5"/>
      <c r="B170" s="5"/>
      <c r="F170" s="5"/>
      <c r="G170" s="5"/>
    </row>
    <row r="171" customFormat="false" ht="15" hidden="false" customHeight="false" outlineLevel="0" collapsed="false">
      <c r="A171" s="5"/>
      <c r="B171" s="5"/>
      <c r="F171" s="5"/>
      <c r="G171" s="5"/>
    </row>
    <row r="172" customFormat="false" ht="15" hidden="false" customHeight="false" outlineLevel="0" collapsed="false">
      <c r="A172" s="5"/>
      <c r="B172" s="5"/>
      <c r="F172" s="5"/>
      <c r="G172" s="5"/>
    </row>
    <row r="173" customFormat="false" ht="15" hidden="false" customHeight="false" outlineLevel="0" collapsed="false">
      <c r="A173" s="5"/>
      <c r="B173" s="5"/>
      <c r="F173" s="5"/>
      <c r="G173" s="5"/>
    </row>
    <row r="174" customFormat="false" ht="15" hidden="false" customHeight="false" outlineLevel="0" collapsed="false">
      <c r="A174" s="5"/>
      <c r="B174" s="5"/>
      <c r="F174" s="5"/>
      <c r="G174" s="5"/>
    </row>
    <row r="175" customFormat="false" ht="15" hidden="false" customHeight="false" outlineLevel="0" collapsed="false">
      <c r="A175" s="5"/>
      <c r="B175" s="5"/>
      <c r="F175" s="5"/>
      <c r="G175" s="5"/>
    </row>
    <row r="176" customFormat="false" ht="15" hidden="false" customHeight="false" outlineLevel="0" collapsed="false">
      <c r="A176" s="5"/>
      <c r="B176" s="5"/>
      <c r="F176" s="5"/>
      <c r="G176" s="5"/>
    </row>
    <row r="177" customFormat="false" ht="15" hidden="false" customHeight="false" outlineLevel="0" collapsed="false">
      <c r="A177" s="5"/>
      <c r="B177" s="5"/>
      <c r="F177" s="5"/>
      <c r="G177" s="5"/>
    </row>
    <row r="178" customFormat="false" ht="15" hidden="false" customHeight="false" outlineLevel="0" collapsed="false">
      <c r="A178" s="5"/>
      <c r="B178" s="5"/>
      <c r="F178" s="5"/>
      <c r="G178" s="5"/>
    </row>
    <row r="179" customFormat="false" ht="15" hidden="false" customHeight="false" outlineLevel="0" collapsed="false">
      <c r="A179" s="5"/>
      <c r="B179" s="5"/>
      <c r="F179" s="5"/>
      <c r="G179" s="5"/>
    </row>
    <row r="180" customFormat="false" ht="15" hidden="false" customHeight="false" outlineLevel="0" collapsed="false">
      <c r="A180" s="5"/>
      <c r="B180" s="5"/>
      <c r="F180" s="5"/>
      <c r="G180" s="5"/>
    </row>
    <row r="181" customFormat="false" ht="15" hidden="false" customHeight="false" outlineLevel="0" collapsed="false">
      <c r="A181" s="5"/>
      <c r="B181" s="5"/>
      <c r="F181" s="5"/>
      <c r="G181" s="5"/>
    </row>
    <row r="182" customFormat="false" ht="15" hidden="false" customHeight="false" outlineLevel="0" collapsed="false">
      <c r="A182" s="5"/>
      <c r="B182" s="5"/>
      <c r="F182" s="5"/>
      <c r="G182" s="5"/>
    </row>
    <row r="183" customFormat="false" ht="15" hidden="false" customHeight="false" outlineLevel="0" collapsed="false">
      <c r="A183" s="5"/>
      <c r="B183" s="5"/>
      <c r="F183" s="5"/>
      <c r="G183" s="5"/>
    </row>
    <row r="184" customFormat="false" ht="15" hidden="false" customHeight="false" outlineLevel="0" collapsed="false">
      <c r="A184" s="5"/>
      <c r="B184" s="5"/>
      <c r="F184" s="5"/>
      <c r="G184" s="5"/>
    </row>
    <row r="185" customFormat="false" ht="15" hidden="false" customHeight="false" outlineLevel="0" collapsed="false">
      <c r="A185" s="5"/>
      <c r="B185" s="5"/>
      <c r="F185" s="5"/>
      <c r="G185" s="5"/>
    </row>
    <row r="186" customFormat="false" ht="15" hidden="false" customHeight="false" outlineLevel="0" collapsed="false">
      <c r="A186" s="5"/>
      <c r="B186" s="5"/>
      <c r="F186" s="5"/>
      <c r="G186" s="5"/>
    </row>
    <row r="187" customFormat="false" ht="15" hidden="false" customHeight="false" outlineLevel="0" collapsed="false">
      <c r="A187" s="5"/>
      <c r="B187" s="5"/>
      <c r="F187" s="5"/>
      <c r="G187" s="5"/>
    </row>
    <row r="188" customFormat="false" ht="15" hidden="false" customHeight="false" outlineLevel="0" collapsed="false">
      <c r="A188" s="5"/>
      <c r="B188" s="5"/>
      <c r="F188" s="5"/>
      <c r="G188" s="5"/>
    </row>
    <row r="189" customFormat="false" ht="15" hidden="false" customHeight="false" outlineLevel="0" collapsed="false">
      <c r="A189" s="5"/>
      <c r="B189" s="5"/>
      <c r="F189" s="5"/>
      <c r="G189" s="5"/>
    </row>
    <row r="190" customFormat="false" ht="15" hidden="false" customHeight="false" outlineLevel="0" collapsed="false">
      <c r="A190" s="5"/>
      <c r="B190" s="5"/>
      <c r="F190" s="5"/>
      <c r="G190" s="5"/>
    </row>
    <row r="191" customFormat="false" ht="15" hidden="false" customHeight="false" outlineLevel="0" collapsed="false">
      <c r="A191" s="5"/>
      <c r="B191" s="5"/>
      <c r="F191" s="5"/>
      <c r="G191" s="5"/>
    </row>
    <row r="192" customFormat="false" ht="15" hidden="false" customHeight="false" outlineLevel="0" collapsed="false">
      <c r="A192" s="5"/>
      <c r="B192" s="5"/>
      <c r="F192" s="5"/>
      <c r="G192" s="5"/>
    </row>
    <row r="193" customFormat="false" ht="15" hidden="false" customHeight="false" outlineLevel="0" collapsed="false">
      <c r="A193" s="5"/>
      <c r="B193" s="5"/>
      <c r="F193" s="5"/>
      <c r="G193" s="5"/>
    </row>
    <row r="194" customFormat="false" ht="15" hidden="false" customHeight="false" outlineLevel="0" collapsed="false">
      <c r="A194" s="5"/>
      <c r="B194" s="5"/>
      <c r="F194" s="5"/>
      <c r="G194" s="5"/>
    </row>
    <row r="195" customFormat="false" ht="15" hidden="false" customHeight="false" outlineLevel="0" collapsed="false">
      <c r="A195" s="5"/>
      <c r="B195" s="5"/>
      <c r="F195" s="5"/>
      <c r="G195" s="5"/>
    </row>
    <row r="196" customFormat="false" ht="15" hidden="false" customHeight="false" outlineLevel="0" collapsed="false">
      <c r="A196" s="5"/>
      <c r="B196" s="5"/>
      <c r="F196" s="5"/>
      <c r="G196" s="5"/>
    </row>
    <row r="197" customFormat="false" ht="15" hidden="false" customHeight="false" outlineLevel="0" collapsed="false">
      <c r="A197" s="5"/>
      <c r="B197" s="5"/>
      <c r="F197" s="5"/>
      <c r="G197" s="5"/>
    </row>
    <row r="198" customFormat="false" ht="15" hidden="false" customHeight="false" outlineLevel="0" collapsed="false">
      <c r="A198" s="5"/>
      <c r="B198" s="5"/>
      <c r="F198" s="5"/>
      <c r="G198" s="5"/>
    </row>
    <row r="199" customFormat="false" ht="15" hidden="false" customHeight="false" outlineLevel="0" collapsed="false">
      <c r="A199" s="5"/>
      <c r="B199" s="5"/>
      <c r="F199" s="5"/>
      <c r="G199" s="5"/>
    </row>
    <row r="200" customFormat="false" ht="15" hidden="false" customHeight="false" outlineLevel="0" collapsed="false">
      <c r="A200" s="5"/>
      <c r="B200" s="5"/>
      <c r="F200" s="5"/>
      <c r="G200" s="5"/>
    </row>
  </sheetData>
  <sheetProtection sheet="true" formatCells="false" formatColumns="false" formatRows="false"/>
  <mergeCells count="1">
    <mergeCell ref="A9:G9"/>
  </mergeCells>
  <dataValidations count="3">
    <dataValidation allowBlank="true" error="Valor no válido. Usa la lista." errorStyle="stop" errorTitle="❌ Valor no permitido" operator="between" prompt="Elige de la lista" promptTitle="Ciclo" showDropDown="false" showErrorMessage="true" showInputMessage="false" sqref="A2:A200" type="list">
      <formula1>Tbl_Ciclos[id ciclo]</formula1>
      <formula2>0</formula2>
    </dataValidation>
    <dataValidation allowBlank="true" error="Valor no válido. Usa la lista." errorStyle="stop" errorTitle="❌ Valor no permitido" operator="between" prompt="Elige de la lista" promptTitle="Producto" showDropDown="false" showErrorMessage="true" showInputMessage="false" sqref="B2:B200" type="list">
      <formula1>Tbl_Catalogo[producto]</formula1>
      <formula2>0</formula2>
    </dataValidation>
    <dataValidation allowBlank="true" error="Valor no válido. Usa la lista." errorStyle="stop" errorTitle="❌ Valor no permitido" operator="between" prompt="Elige de la lista" promptTitle="Selecciona una opción" showDropDown="false" showErrorMessage="true" showInputMessage="false" sqref="F2:F20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28.35" hidden="false" customHeight="false" outlineLevel="0" collapsed="false">
      <c r="A1" s="1" t="s">
        <v>101</v>
      </c>
      <c r="B1" s="1" t="s">
        <v>54</v>
      </c>
      <c r="C1" s="1" t="s">
        <v>102</v>
      </c>
      <c r="D1" s="1" t="s">
        <v>1</v>
      </c>
      <c r="E1" s="1" t="s">
        <v>57</v>
      </c>
      <c r="F1" s="1" t="s">
        <v>103</v>
      </c>
      <c r="G1" s="1" t="s">
        <v>40</v>
      </c>
      <c r="H1" s="1" t="s">
        <v>41</v>
      </c>
    </row>
    <row r="2" customFormat="false" ht="15" hidden="false" customHeight="false" outlineLevel="0" collapsed="false">
      <c r="A2" s="2"/>
      <c r="B2" s="2" t="s">
        <v>45</v>
      </c>
      <c r="C2" s="2"/>
      <c r="D2" s="7"/>
      <c r="E2" s="2"/>
      <c r="F2" s="2"/>
      <c r="G2" s="2"/>
      <c r="H2" s="2" t="s">
        <v>70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</row>
    <row r="4" customFormat="false" ht="15" hidden="false" customHeight="false" outlineLevel="0" collapsed="false">
      <c r="A4" s="6" t="s">
        <v>104</v>
      </c>
      <c r="B4" s="6"/>
      <c r="C4" s="6"/>
      <c r="D4" s="6"/>
      <c r="E4" s="6"/>
      <c r="F4" s="6"/>
      <c r="G4" s="6"/>
      <c r="H4" s="6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</row>
  </sheetData>
  <sheetProtection sheet="true" formatCells="false" formatColumns="false" formatRows="false"/>
  <mergeCells count="1">
    <mergeCell ref="A4:H4"/>
  </mergeCells>
  <dataValidations count="3">
    <dataValidation allowBlank="true" error="Valor no válido. Usa la lista." errorStyle="stop" errorTitle="❌ Valor no permitido" operator="between" prompt="Elige de la lista" promptTitle="Ciclo" showDropDown="false" showErrorMessage="true" showInputMessage="false" sqref="B2:B100" type="list">
      <formula1>Tbl_Ciclos[id ciclo]</formula1>
      <formula2>0</formula2>
    </dataValidation>
    <dataValidation allowBlank="true" error="Valor no válido. Usa la lista." errorStyle="stop" errorTitle="❌ Valor no permitido" operator="between" prompt="Elige de la lista" promptTitle="Producto" showDropDown="false" showErrorMessage="true" showInputMessage="false" sqref="D2:D100" type="list">
      <formula1>Tbl_Catalogo[producto]</formula1>
      <formula2>0</formula2>
    </dataValidation>
    <dataValidation allowBlank="true" error="Valor no válido. Usa la lista." errorStyle="stop" errorTitle="❌ Valor no permitido" operator="between" prompt="Elige de la lista" promptTitle="Selecciona una opción" showDropDown="false" showErrorMessage="true" showInputMessage="false" sqref="H2:H100" type="list">
      <formula1>"Pendiente,Entregado,Pagado"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28.35" hidden="false" customHeight="false" outlineLevel="0" collapsed="false">
      <c r="A1" s="1" t="s">
        <v>0</v>
      </c>
      <c r="B1" s="1" t="s">
        <v>36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</row>
    <row r="2" customFormat="false" ht="15" hidden="false" customHeight="false" outlineLevel="0" collapsed="false">
      <c r="A2" s="0" t="s">
        <v>45</v>
      </c>
      <c r="B2" s="2" t="s">
        <v>66</v>
      </c>
      <c r="C2" s="2" t="s">
        <v>65</v>
      </c>
      <c r="D2" s="2" t="s">
        <v>110</v>
      </c>
      <c r="E2" s="2" t="s">
        <v>111</v>
      </c>
      <c r="F2" s="3" t="n">
        <f aca="false">SUMIF(Tbl_Pedidos[Cliente],B2,Tbl_Pedidos[Total (₡)])</f>
        <v>3600</v>
      </c>
      <c r="G2" s="3" t="n">
        <f aca="false">IFERROR(_xlfn.MAXIFS(Tbl_Pedidos[Fecha Pedido],Tbl_Pedidos[Cliente],B2),"Sin compras")</f>
        <v>0</v>
      </c>
    </row>
    <row r="3" customFormat="false" ht="15" hidden="false" customHeight="false" outlineLevel="0" collapsed="false">
      <c r="A3" s="0" t="s">
        <v>112</v>
      </c>
      <c r="B3" s="2" t="s">
        <v>113</v>
      </c>
      <c r="C3" s="2" t="s">
        <v>71</v>
      </c>
      <c r="D3" s="2" t="s">
        <v>114</v>
      </c>
      <c r="E3" s="2" t="s">
        <v>115</v>
      </c>
      <c r="F3" s="3" t="n">
        <f aca="false">SUMIF(Tbl_Pedidos[Cliente],B3,Tbl_Pedidos[Total (₡)])</f>
        <v>0</v>
      </c>
      <c r="G3" s="3" t="n">
        <f aca="false">IFERROR(_xlfn.MAXIFS(Tbl_Pedidos[Fecha Pedido],Tbl_Pedidos[Cliente],B3),"Sin compras")</f>
        <v>0</v>
      </c>
    </row>
    <row r="4" customFormat="false" ht="15" hidden="false" customHeight="false" outlineLevel="0" collapsed="false">
      <c r="A4" s="0" t="s">
        <v>116</v>
      </c>
      <c r="B4" s="2" t="s">
        <v>78</v>
      </c>
      <c r="C4" s="2" t="s">
        <v>77</v>
      </c>
      <c r="D4" s="2" t="s">
        <v>117</v>
      </c>
      <c r="E4" s="2" t="s">
        <v>118</v>
      </c>
      <c r="F4" s="3" t="n">
        <f aca="false">SUMIF(Tbl_Pedidos[Cliente],B4,Tbl_Pedidos[Total (₡)])</f>
        <v>8240</v>
      </c>
      <c r="G4" s="3" t="n">
        <f aca="false">IFERROR(_xlfn.MAXIFS(Tbl_Pedidos[Fecha Pedido],Tbl_Pedidos[Cliente],B4),"Sin compras")</f>
        <v>0</v>
      </c>
    </row>
    <row r="5" customFormat="false" ht="15" hidden="false" customHeight="false" outlineLevel="0" collapsed="false">
      <c r="A5" s="0" t="s">
        <v>119</v>
      </c>
      <c r="B5" s="2" t="s">
        <v>81</v>
      </c>
      <c r="C5" s="2" t="s">
        <v>65</v>
      </c>
      <c r="D5" s="2" t="s">
        <v>120</v>
      </c>
      <c r="E5" s="2" t="s">
        <v>121</v>
      </c>
      <c r="F5" s="3" t="n">
        <f aca="false">SUMIF(Tbl_Pedidos[Cliente],B5,Tbl_Pedidos[Total (₡)])</f>
        <v>2900</v>
      </c>
      <c r="G5" s="3" t="n">
        <f aca="false">IFERROR(_xlfn.MAXIFS(Tbl_Pedidos[Fecha Pedido],Tbl_Pedidos[Cliente],B5),"Sin compras")</f>
        <v>0</v>
      </c>
    </row>
    <row r="6" customFormat="false" ht="15" hidden="false" customHeight="false" outlineLevel="0" collapsed="false">
      <c r="A6" s="0" t="s">
        <v>122</v>
      </c>
      <c r="B6" s="2" t="s">
        <v>123</v>
      </c>
      <c r="C6" s="2" t="s">
        <v>71</v>
      </c>
      <c r="D6" s="2" t="s">
        <v>124</v>
      </c>
      <c r="E6" s="2" t="s">
        <v>111</v>
      </c>
      <c r="F6" s="3" t="n">
        <f aca="false">SUMIF(Tbl_Pedidos[Cliente],B6,Tbl_Pedidos[Total (₡)])</f>
        <v>0</v>
      </c>
      <c r="G6" s="3" t="n">
        <f aca="false">IFERROR(_xlfn.MAXIFS(Tbl_Pedidos[Fecha Pedido],Tbl_Pedidos[Cliente],B6),"Sin compras")</f>
        <v>0</v>
      </c>
    </row>
  </sheetData>
  <sheetProtection sheet="true" formatCells="fals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7"/>
  </cols>
  <sheetData>
    <row r="1" customFormat="false" ht="15" hidden="false" customHeight="false" outlineLevel="0" collapsed="false">
      <c r="A1" s="1" t="s">
        <v>101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105</v>
      </c>
    </row>
    <row r="2" customFormat="false" ht="15" hidden="false" customHeight="false" outlineLevel="0" collapsed="false">
      <c r="A2" s="2" t="s">
        <v>47</v>
      </c>
      <c r="B2" s="2" t="s">
        <v>45</v>
      </c>
      <c r="C2" s="2" t="s">
        <v>129</v>
      </c>
      <c r="D2" s="2" t="s">
        <v>130</v>
      </c>
      <c r="E2" s="2" t="n">
        <v>150000</v>
      </c>
      <c r="F2" s="2" t="s">
        <v>131</v>
      </c>
    </row>
    <row r="3" customFormat="false" ht="15" hidden="false" customHeight="false" outlineLevel="0" collapsed="false">
      <c r="A3" s="2" t="s">
        <v>76</v>
      </c>
      <c r="B3" s="2" t="s">
        <v>45</v>
      </c>
      <c r="C3" s="2" t="s">
        <v>132</v>
      </c>
      <c r="D3" s="2" t="s">
        <v>133</v>
      </c>
      <c r="E3" s="2" t="n">
        <v>15000</v>
      </c>
      <c r="F3" s="2" t="s">
        <v>134</v>
      </c>
    </row>
    <row r="4" customFormat="false" ht="15" hidden="false" customHeight="false" outlineLevel="0" collapsed="false">
      <c r="A4" s="2" t="s">
        <v>76</v>
      </c>
      <c r="B4" s="2" t="s">
        <v>45</v>
      </c>
      <c r="C4" s="2" t="s">
        <v>132</v>
      </c>
      <c r="D4" s="2" t="s">
        <v>135</v>
      </c>
      <c r="E4" s="2" t="n">
        <v>5000</v>
      </c>
      <c r="F4" s="2" t="s">
        <v>134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</row>
  </sheetData>
  <sheetProtection sheet="true" formatCells="false" formatColumns="false" formatRows="false"/>
  <dataValidations count="1">
    <dataValidation allowBlank="true" error="Valor no válido. Usa la lista." errorStyle="stop" errorTitle="❌ Valor no permitido" operator="between" prompt="Elige de la lista" promptTitle="Ciclo" showDropDown="false" showErrorMessage="true" showInputMessage="false" sqref="B2:B50" type="list">
      <formula1>Tbl_Ciclos[id ciclo]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8"/>
  </cols>
  <sheetData>
    <row r="1" customFormat="false" ht="19.7" hidden="false" customHeight="false" outlineLevel="0" collapsed="false">
      <c r="A1" s="8" t="s">
        <v>136</v>
      </c>
      <c r="B1" s="8"/>
      <c r="C1" s="8"/>
      <c r="D1" s="8"/>
    </row>
    <row r="3" customFormat="false" ht="16.15" hidden="false" customHeight="false" outlineLevel="0" collapsed="false">
      <c r="A3" s="9" t="s">
        <v>137</v>
      </c>
      <c r="B3" s="9"/>
      <c r="D3" s="10" t="s">
        <v>138</v>
      </c>
      <c r="E3" s="10"/>
    </row>
    <row r="4" customFormat="false" ht="15" hidden="false" customHeight="false" outlineLevel="0" collapsed="false">
      <c r="A4" s="0" t="s">
        <v>139</v>
      </c>
      <c r="B4" s="3" t="n">
        <f aca="false">SUM(Tbl_Pedidos[Total (₡)])</f>
        <v>21645</v>
      </c>
      <c r="D4" s="11" t="s">
        <v>140</v>
      </c>
      <c r="E4" s="3" t="n">
        <f aca="false">COUNTIFS(Tbl_Sobrantes[Sobrante],"&gt;0")</f>
        <v>0</v>
      </c>
    </row>
    <row r="5" customFormat="false" ht="15" hidden="false" customHeight="false" outlineLevel="0" collapsed="false">
      <c r="A5" s="0" t="s">
        <v>141</v>
      </c>
      <c r="B5" s="3" t="n">
        <f aca="false">COUNTIFS(Tbl_Pedidos[Estado Entrega],"Pendiente")+COUNTIFS(Tbl_Pedidos[Estado Entrega],"En Ruta")</f>
        <v>5</v>
      </c>
      <c r="D5" s="11" t="s">
        <v>142</v>
      </c>
      <c r="E5" s="3" t="n">
        <f aca="false">COUNTIFS(Tbl_ListaCompras[Estado],"Por Comprar")</f>
        <v>5</v>
      </c>
    </row>
    <row r="6" customFormat="false" ht="15" hidden="false" customHeight="false" outlineLevel="0" collapsed="false">
      <c r="A6" s="0" t="s">
        <v>143</v>
      </c>
      <c r="B6" s="3" t="n">
        <f aca="false">COUNTIFS(Tbl_Pedidos[Estado Pago],"Pendiente")</f>
        <v>5</v>
      </c>
    </row>
    <row r="7" customFormat="false" ht="15" hidden="false" customHeight="false" outlineLevel="0" collapsed="false">
      <c r="A7" s="0" t="s">
        <v>144</v>
      </c>
      <c r="B7" s="3" t="n">
        <f aca="false">SUMIFS(Tbl_Pedidos[Total (₡)],Tbl_Pedidos[Estado Pago],"Pendiente")</f>
        <v>21645</v>
      </c>
    </row>
    <row r="9" customFormat="false" ht="16.15" hidden="false" customHeight="false" outlineLevel="0" collapsed="false">
      <c r="A9" s="12" t="s">
        <v>145</v>
      </c>
      <c r="B9" s="12"/>
    </row>
    <row r="10" customFormat="false" ht="15" hidden="false" customHeight="false" outlineLevel="0" collapsed="false">
      <c r="A10" s="0" t="s">
        <v>146</v>
      </c>
      <c r="B10" s="3" t="n">
        <f aca="false">COUNTIFS(Tbl_Ciclos[Estado],"&lt;&gt;Finalizado")</f>
        <v>29</v>
      </c>
    </row>
    <row r="11" customFormat="false" ht="15" hidden="false" customHeight="false" outlineLevel="0" collapsed="false">
      <c r="A11" s="13" t="s">
        <v>147</v>
      </c>
      <c r="B11" s="13"/>
      <c r="C11" s="13"/>
      <c r="D11" s="13"/>
    </row>
    <row r="13" customFormat="false" ht="16.15" hidden="false" customHeight="false" outlineLevel="0" collapsed="false">
      <c r="A13" s="14" t="s">
        <v>148</v>
      </c>
      <c r="B13" s="14"/>
    </row>
    <row r="14" customFormat="false" ht="15" hidden="false" customHeight="false" outlineLevel="0" collapsed="false">
      <c r="A14" s="0" t="s">
        <v>1</v>
      </c>
      <c r="B14" s="0" t="s">
        <v>149</v>
      </c>
    </row>
    <row r="15" customFormat="false" ht="15" hidden="false" customHeight="false" outlineLevel="0" collapsed="false">
      <c r="A15" s="0" t="str">
        <f aca="false">INDEX(Tbl_Catalogo[Producto],1)</f>
        <v>Banano</v>
      </c>
      <c r="B15" s="3" t="n">
        <f aca="false">SUMIF(Tbl_Pedidos[Producto],A15,Tbl_Pedidos[Cantidad])</f>
        <v>3</v>
      </c>
    </row>
    <row r="16" customFormat="false" ht="15" hidden="false" customHeight="false" outlineLevel="0" collapsed="false">
      <c r="A16" s="0" t="str">
        <f aca="false">INDEX(Tbl_Catalogo[Producto],2)</f>
        <v>Papa</v>
      </c>
      <c r="B16" s="3" t="n">
        <f aca="false">SUMIF(Tbl_Pedidos[Producto],A16,Tbl_Pedidos[Cantidad])</f>
        <v>5</v>
      </c>
    </row>
    <row r="17" customFormat="false" ht="15" hidden="false" customHeight="false" outlineLevel="0" collapsed="false">
      <c r="A17" s="0" t="str">
        <f aca="false">INDEX(Tbl_Catalogo[Producto],3)</f>
        <v>Aguacate</v>
      </c>
      <c r="B17" s="3" t="n">
        <f aca="false">SUMIF(Tbl_Pedidos[Producto],A17,Tbl_Pedidos[Cantidad])</f>
        <v>10</v>
      </c>
    </row>
    <row r="18" customFormat="false" ht="15" hidden="false" customHeight="false" outlineLevel="0" collapsed="false">
      <c r="A18" s="0" t="str">
        <f aca="false">INDEX(Tbl_Catalogo[Producto],4)</f>
        <v>Tomate</v>
      </c>
      <c r="B18" s="3" t="n">
        <f aca="false">SUMIF(Tbl_Pedidos[Producto],A18,Tbl_Pedidos[Cantidad])</f>
        <v>2</v>
      </c>
    </row>
    <row r="19" customFormat="false" ht="15" hidden="false" customHeight="false" outlineLevel="0" collapsed="false">
      <c r="A19" s="0" t="str">
        <f aca="false">INDEX(Tbl_Catalogo[Producto],5)</f>
        <v>Cebolla</v>
      </c>
      <c r="B19" s="3" t="n">
        <f aca="false">SUMIF(Tbl_Pedidos[Producto],A19,Tbl_Pedidos[Cantidad])</f>
        <v>0</v>
      </c>
    </row>
  </sheetData>
  <sheetProtection sheet="true"/>
  <mergeCells count="6">
    <mergeCell ref="A1:D1"/>
    <mergeCell ref="A3:B3"/>
    <mergeCell ref="D3:E3"/>
    <mergeCell ref="A9:B9"/>
    <mergeCell ref="A11:D11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2026-08-03T22:32:09Z</dcterms:created>
  <dc:creator>openpyxl</dc:creator>
  <dc:description/>
  <dc:language>en-US</dc:language>
  <cp:lastModifiedBy/>
  <dcterms:modified xsi:type="dcterms:W3CDTF">2026-08-03T22:32:09Z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